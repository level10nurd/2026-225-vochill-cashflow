
<file path=[Content_Types].xml><?xml version="1.0" encoding="utf-8"?>
<Types xmlns="http://schemas.openxmlformats.org/package/2006/content-types">
  <Default ContentType="application/vnd.openxmlformats-officedocument.oleObject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 range" r:id="rId3" sheetId="1"/>
    <sheet name="Past transactions" r:id="rId4" sheetId="2"/>
    <sheet name="Recurring Transactions" r:id="rId5" sheetId="3"/>
    <sheet name="Next 13-week Accounts Receivabl" r:id="rId6" sheetId="4"/>
    <sheet name="Next 13-week Accounts Payables" r:id="rId7" sheetId="5"/>
    <sheet name="Actuals CF" r:id="rId8" sheetId="6"/>
    <sheet name="13-week CF Forecast" r:id="rId9" sheetId="7"/>
    <sheet name="Deviation to Forecast" r:id="rId10" sheetId="8"/>
    <sheet name="Account" r:id="rId11" sheetId="9"/>
    <sheet name="Categories" r:id="rId12" sheetId="10"/>
    <sheet name="13-week full repayment schedule" r:id="rId13" sheetId="11"/>
  </sheets>
</workbook>
</file>

<file path=xl/sharedStrings.xml><?xml version="1.0" encoding="utf-8"?>
<sst xmlns="http://schemas.openxmlformats.org/spreadsheetml/2006/main" count="2369" uniqueCount="200">
  <si>
    <t>Last X Months</t>
  </si>
  <si>
    <t>Transaction Id</t>
  </si>
  <si>
    <t>Date</t>
  </si>
  <si>
    <t>Amount</t>
  </si>
  <si>
    <t>Name</t>
  </si>
  <si>
    <t>Category</t>
  </si>
  <si>
    <t>Memo</t>
  </si>
  <si>
    <t>Column 3</t>
  </si>
  <si>
    <t>Software</t>
  </si>
  <si>
    <t>GC&lt;&gt;HUBOO TECH HU-MDQR59Q XXXXXXXX23512 Intl Electronic Debit</t>
  </si>
  <si>
    <t>Shopify</t>
  </si>
  <si>
    <t>SHOPIFY TRANSFER SHOPIFY Electronic Deposit</t>
  </si>
  <si>
    <t>Shopify TRANSFER ST-O8T3U5A0U9X0 Electronic Deposit</t>
  </si>
  <si>
    <t>Shopify TRANSFER ST-X1D3L3K8Q0O3 Electronic Deposit</t>
  </si>
  <si>
    <t>SHOPPAYINST AFRM PAYMENTS 4ZNMOY7IEOH6GG3 Electronic Deposit</t>
  </si>
  <si>
    <t>Tax Expenditures</t>
  </si>
  <si>
    <t>VA DEPT TAXATION TAX PAYMEN *****4666 Electronic Debit</t>
  </si>
  <si>
    <t>SHOPIFY TRANSFER ST-C2N3H8H4R3M2 Electronic Deposit</t>
  </si>
  <si>
    <t>INTUIT * QBooks Onl 8667280 Electronic Debit</t>
  </si>
  <si>
    <t>Shopify TRANSFER ST-D9V1Y5G8R1X2 Electronic Deposit</t>
  </si>
  <si>
    <t>SHOPPAYINST AFRM PAYMENTS ZJZEKXFM9J1IPYA Electronic Deposit</t>
  </si>
  <si>
    <t>Payroll</t>
  </si>
  <si>
    <t>Debit tax</t>
  </si>
  <si>
    <t>Debit net pay</t>
  </si>
  <si>
    <t>GEORGIA ITS TAX GA TX PYMT XXXXXX5216 Electronic Debit</t>
  </si>
  <si>
    <t>The Hartford</t>
  </si>
  <si>
    <t>Overhead Expenditures</t>
  </si>
  <si>
    <t>THE HARTFORD INSPMTCL 17122542 Electronic Debit</t>
  </si>
  <si>
    <t>WEBFILE TAX PYMT DD 902/79387750 Electronic Debit</t>
  </si>
  <si>
    <t>Shopify TRANSFER ST-W1M2I0T4O1U1 Electronic Deposit</t>
  </si>
  <si>
    <t>SHOPPAYINST AFRM PAYMENTS UYK2YKTRBEN7TU5 Electronic Deposit</t>
  </si>
  <si>
    <t>Huboo</t>
  </si>
  <si>
    <t>SHOPIFY XXXXXXXXXX VOCHILL Electronic Debit</t>
  </si>
  <si>
    <t>Virginia Department of Taxation</t>
  </si>
  <si>
    <t>SHOPIFY TRANSFER ST-O7P1K1P2B1R8 Electronic Deposit</t>
  </si>
  <si>
    <t>SHOPIFY TRANSFER ST-Y7U7O5V2D6V7 Electronic Deposit</t>
  </si>
  <si>
    <t>Treasury Mgmt Svcs</t>
  </si>
  <si>
    <t>BILL.COM LLC BILLING 02B4JTVUDQMT00M Electronic Debit</t>
  </si>
  <si>
    <t>Shopify TRANSFER ST-U2S0R0C9M1C1 Electronic Deposit</t>
  </si>
  <si>
    <t>SHOPPAYINST AFRM PAYMENTS E7I6ZPF4BMK4LT2 Electronic Deposit</t>
  </si>
  <si>
    <t>SHOPPAYINST AFRM PAYMENTS 6KQEL2L4S9SW6WR Electronic Deposit</t>
  </si>
  <si>
    <t>SHOPPAYINST AFRM PAYMENTS 6X8YZ3TSTVZHIZG Electronic Deposit</t>
  </si>
  <si>
    <t>GLOBAL - E PPD Electronic Debit</t>
  </si>
  <si>
    <t>Shopify TRANSFER ST-Y1A5D8Q1I8Z5 Electronic Deposit</t>
  </si>
  <si>
    <t>Credit Card</t>
  </si>
  <si>
    <t>Payment Thank You - Web</t>
  </si>
  <si>
    <t>SHOPPAYINST AFRM PAYMENTS B0RL6T2D275UM8F Electronic Deposit</t>
  </si>
  <si>
    <t>Shopify TRANSFER ST-H1P7U5K2Z1I5 Electronic Deposit</t>
  </si>
  <si>
    <t>Faire</t>
  </si>
  <si>
    <t>Wholesale</t>
  </si>
  <si>
    <t>FAIRE WHOLESALE ORDER pay_x7w9efz33x Electronic Deposit</t>
  </si>
  <si>
    <t>Sales&amp;Marketing Expenditures</t>
  </si>
  <si>
    <t>Bill.com Payables 015CFEMCHCJ0RWJ Electronic Debit</t>
  </si>
  <si>
    <t>FAIRE WHOLESALE ORDER pay_e9n6tqcrqk Electronic Deposit</t>
  </si>
  <si>
    <t>SHOPPAYINST AFRM PAYMENTS ECSABF5UK9E7D5K Electronic Deposit</t>
  </si>
  <si>
    <t>Shopify TRANSFER ST-A7H7S7Z9W9H0 Electronic Deposit</t>
  </si>
  <si>
    <t>FAIRE WHOLESALE ORDER pay_u765rewkf5 Electronic Deposit</t>
  </si>
  <si>
    <t>Bill.com Payables 015KJWAZFJIZ6F0 Electronic Debit</t>
  </si>
  <si>
    <t>Shopify - vo-vin Customer</t>
  </si>
  <si>
    <t>Affirm</t>
  </si>
  <si>
    <t>SHOPPAYINST AFRM PAYMENTS KS2FHVBX1C95900 Electronic Deposit</t>
  </si>
  <si>
    <t>Shopify TRANSFER ST-B5T7Q7G8U6T4 Electronic Deposit</t>
  </si>
  <si>
    <t>FAIRE WHOLESALE ORDER pay_uezhufja5w Electronic Deposit</t>
  </si>
  <si>
    <t>Shopify TRANSFER ST-I2S6T7P0F0Z2 Electronic Deposit</t>
  </si>
  <si>
    <t>AFRM PAYMENTS</t>
  </si>
  <si>
    <t>SHOPPAYINST AFRM PAYMENTS 5THWUOZZTTGAWXF Electronic Deposit</t>
  </si>
  <si>
    <t>SHOPPAYINST AFRM PAYMENTS 65EKOATW01VTISR Electronic Deposit</t>
  </si>
  <si>
    <t>Shopify TRANSFER ST-F6U3M9D5E6R6 Electronic Deposit</t>
  </si>
  <si>
    <t>SHOPPAYINST AFRM PAYMENTS RTTEXH7JADUMSVR Electronic Deposit</t>
  </si>
  <si>
    <t>GLOBAL - E PAYMENT Electronic Deposit</t>
  </si>
  <si>
    <t>Shopify TRANSFER ST-K4Q2E5M9F5W9 Electronic Deposit</t>
  </si>
  <si>
    <t>Shopify TRANSFER ST-G5X2W2M6U5R5 Electronic Deposit</t>
  </si>
  <si>
    <t>Shopify TRANSFER ST-P2Z7J2T5T3N6 Electronic Deposit</t>
  </si>
  <si>
    <t>Shopify TRANSFER ST-A1G3A1U2M9E1 Electronic Deposit</t>
  </si>
  <si>
    <t>Ampersand</t>
  </si>
  <si>
    <t>AMPERSAND PRODUC SALE Electronic Debit</t>
  </si>
  <si>
    <t>Beam</t>
  </si>
  <si>
    <t>Beam-Premium Beam2025 TX00829 Electronic Debit</t>
  </si>
  <si>
    <t>Shopify TRANSFER ST-R5Q1V4D3I1P4 Electronic Deposit</t>
  </si>
  <si>
    <t>City of Austin</t>
  </si>
  <si>
    <t>City of Austin T PAYMENT XXXXXX7912 Electronic Debit</t>
  </si>
  <si>
    <t>Bill.com Payables 015QXYYUVYIHTPE Electronic Debit</t>
  </si>
  <si>
    <t>SHOPPAYINST AFRM PAYMENTS 5SLFTIF3S8456FS Electronic Deposit</t>
  </si>
  <si>
    <t>SHOPPAYINST AFRM PAYMENTS 835IIOKY4BZSZBN Electronic Deposit</t>
  </si>
  <si>
    <t>Shopify TRANSFER ST-S2N8K0Z3J0R8 Electronic Deposit</t>
  </si>
  <si>
    <t>SHOPPAYINST AFRM PAYMENTS BVDQ2ERGABRXTU7 Electronic Deposit</t>
  </si>
  <si>
    <t>Sana Benefits</t>
  </si>
  <si>
    <t>Sana Benefits PAYMENT fca56474232e466 Electronic Debit</t>
  </si>
  <si>
    <t>Shopify TRANSFER ST-B9J3H1O6Z1V5 Electronic Deposit</t>
  </si>
  <si>
    <t>amaz</t>
  </si>
  <si>
    <t>Amazon</t>
  </si>
  <si>
    <t>First payment date</t>
  </si>
  <si>
    <t>Counterparty</t>
  </si>
  <si>
    <t>Description</t>
  </si>
  <si>
    <t>Frequency</t>
  </si>
  <si>
    <t>Repayment 1</t>
  </si>
  <si>
    <t>Repayment 2</t>
  </si>
  <si>
    <t>Repayment 3</t>
  </si>
  <si>
    <t>Repayment 4</t>
  </si>
  <si>
    <t>Repayment 5</t>
  </si>
  <si>
    <t>Repayment 6</t>
  </si>
  <si>
    <t>Repayment 7</t>
  </si>
  <si>
    <t>Repayment 8</t>
  </si>
  <si>
    <t>Repayment 9</t>
  </si>
  <si>
    <t>Repayment 10</t>
  </si>
  <si>
    <t>Repayment 11</t>
  </si>
  <si>
    <t>Repayment 12</t>
  </si>
  <si>
    <t>Repayment 13</t>
  </si>
  <si>
    <t>Repayment Schedule</t>
  </si>
  <si>
    <t>Payment Method</t>
  </si>
  <si>
    <t>Rent</t>
  </si>
  <si>
    <t>monthly</t>
  </si>
  <si>
    <t>[{"First payment date":"2025-01-01","Counterparty":"Rent","Description":"Rent","Amount":"$10056","Category":"Overhead Expenditures","Frequency":"monthly","Payment schedule_0":"2025-07-01"},{"First payment date":"2025-01-01","Counterparty":"Rent","Description":"Rent","Amount":"$10056","Category":"Overhead Expenditures","Frequency":"monthly","Payment schedule_0":"2025-08-01"},{"First payment date":"2025-01-01","Counterparty":"Rent","Description":"Rent","Amount":"$10056","Category":"Overhead Expenditures","Frequency":"monthly","Payment schedule_0":"2025-09-01"},{"First payment date":"2025-01-01","Counterparty":"Rent","Description":"Rent","Amount":"$10056","Category":"Overhead Expenditures","Frequency":"monthly","Payment schedule_0":"2025-10-01"},{"First payment date":"2025-01-01","Counterparty":"Rent","Description":"Rent","Amount":"$10056","Category":"Overhead Expenditures","Frequency":"monthly","Payment schedule_0":"2025-11-01"},{"First payment date":"2025-01-01","Counterparty":"Rent","Description":"Rent","Amount":"$10056","Category":"Overhead Expenditures","Frequency":"monthly","Payment schedule_0":"2025-12-01"},{"First payment date":"2025-01-01","Counterparty":"Rent","Description":"Rent","Amount":"$10056","Category":"Overhead Expenditures","Frequency":"monthly","Payment schedule_0":"2026-01-01"},{"First payment date":"2025-01-01","Counterparty":"Rent","Description":"Rent","Amount":"$10056","Category":"Overhead Expenditures","Frequency":"monthly","Payment schedule_0":"2026-02-01"},{"First payment date":"2025-01-01","Counterparty":"Rent","Description":"Rent","Amount":"$10056","Category":"Overhead Expenditures","Frequency":"monthly","Payment schedule_0":"2026-03-01"},{"First payment date":"2025-01-01","Counterparty":"Rent","Description":"Rent","Amount":"$10056","Category":"Overhead Expenditures","Frequency":"monthly","Payment schedule_0":"2026-04-01"},{"First payment date":"2025-01-01","Counterparty":"Rent","Description":"Rent","Amount":"$10056","Category":"Overhead Expenditures","Frequency":"monthly","Payment schedule_0":"2026-05-01"},{"First payment date":"2025-01-01","Counterparty":"Rent","Description":"Rent","Amount":"$10056","Category":"Overhead Expenditures","Frequency":"monthly","Payment schedule_0":"2026-06-01"},{"First payment date":"2025-01-01","Counterparty":"Rent","Description":"Rent","Amount":"$10056","Category":"Overhead Expenditures","Frequency":"monthly","Payment schedule_0":"2026-07-01"}]</t>
  </si>
  <si>
    <t>Staychill</t>
  </si>
  <si>
    <t>Sublease</t>
  </si>
  <si>
    <t>[{"First payment date":"2025-01-01","Counterparty":"Sublease","Description":"Sublease","Amount":"$3056.37","Category":"Overhead Expenditures","Frequency":"monthly","Payment schedule_0":"2025-07-01"},{"First payment date":"2025-01-01","Counterparty":"Sublease","Description":"Sublease","Amount":"$3056.37","Category":"Overhead Expenditures","Frequency":"monthly","Payment schedule_0":"2025-08-01"},{"First payment date":"2025-01-01","Counterparty":"Sublease","Description":"Sublease","Amount":"$3056.37","Category":"Overhead Expenditures","Frequency":"monthly","Payment schedule_0":"2025-09-01"},{"First payment date":"2025-01-01","Counterparty":"Sublease","Description":"Sublease","Amount":"$3056.37","Category":"Overhead Expenditures","Frequency":"monthly","Payment schedule_0":"2025-10-01"},{"First payment date":"2025-01-01","Counterparty":"Sublease","Description":"Sublease","Amount":"$3056.37","Category":"Overhead Expenditures","Frequency":"monthly","Payment schedule_0":"2025-11-01"},{"First payment date":"2025-01-01","Counterparty":"Sublease","Description":"Sublease","Amount":"$3056.37","Category":"Overhead Expenditures","Frequency":"monthly","Payment schedule_0":"2025-12-01"},{"First payment date":"2025-01-01","Counterparty":"Sublease","Description":"Sublease","Amount":"$3056.37","Category":"Overhead Expenditures","Frequency":"monthly","Payment schedule_0":"2026-01-01"},{"First payment date":"2025-01-01","Counterparty":"Sublease","Description":"Sublease","Amount":"$3056.37","Category":"Overhead Expenditures","Frequency":"monthly","Payment schedule_0":"2026-02-01"},{"First payment date":"2025-01-01","Counterparty":"Sublease","Description":"Sublease","Amount":"$3056.37","Category":"Overhead Expenditures","Frequency":"monthly","Payment schedule_0":"2026-03-01"},{"First payment date":"2025-01-01","Counterparty":"Sublease","Description":"Sublease","Amount":"$3056.37","Category":"Overhead Expenditures","Frequency":"monthly","Payment schedule_0":"2026-04-01"},{"First payment date":"2025-01-01","Counterparty":"Sublease","Description":"Sublease","Amount":"$3056.37","Category":"Overhead Expenditures","Frequency":"monthly","Payment schedule_0":"2026-05-01"},{"First payment date":"2025-01-01","Counterparty":"Sublease","Description":"Sublease","Amount":"$3056.37","Category":"Overhead Expenditures","Frequency":"monthly","Payment schedule_0":"2026-06-01"},{"First payment date":"2025-01-01","Counterparty":"Sublease","Description":"Sublease","Amount":"$3056.37","Category":"Overhead Expenditures","Frequency":"monthly","Payment schedule_0":"2026-07-01"}]</t>
  </si>
  <si>
    <t>Dalton</t>
  </si>
  <si>
    <t>[{"First payment date":"2025-01-01","Counterparty":"Dalton","Description":"Dalton","Amount":"$5000","Category":"Overhead Expenditures","Frequency":"monthly","Payment schedule_0":"2025-07-01"},{"First payment date":"2025-01-01","Counterparty":"Dalton","Description":"Dalton","Amount":"$5000","Category":"Overhead Expenditures","Frequency":"monthly","Payment schedule_0":"2025-08-01"},{"First payment date":"2025-01-01","Counterparty":"Dalton","Description":"Dalton","Amount":"$5000","Category":"Overhead Expenditures","Frequency":"monthly","Payment schedule_0":"2025-09-01"},{"First payment date":"2025-01-01","Counterparty":"Dalton","Description":"Dalton","Amount":"$5000","Category":"Overhead Expenditures","Frequency":"monthly","Payment schedule_0":"2025-10-01"},{"First payment date":"2025-01-01","Counterparty":"Dalton","Description":"Dalton","Amount":"$5000","Category":"Overhead Expenditures","Frequency":"monthly","Payment schedule_0":"2025-11-01"},{"First payment date":"2025-01-01","Counterparty":"Dalton","Description":"Dalton","Amount":"$5000","Category":"Overhead Expenditures","Frequency":"monthly","Payment schedule_0":"2025-12-01"},{"First payment date":"2025-01-01","Counterparty":"Dalton","Description":"Dalton","Amount":"$5000","Category":"Overhead Expenditures","Frequency":"monthly","Payment schedule_0":"2026-01-01"},{"First payment date":"2025-01-01","Counterparty":"Dalton","Description":"Dalton","Amount":"$5000","Category":"Overhead Expenditures","Frequency":"monthly","Payment schedule_0":"2026-02-01"},{"First payment date":"2025-01-01","Counterparty":"Dalton","Description":"Dalton","Amount":"$5000","Category":"Overhead Expenditures","Frequency":"monthly","Payment schedule_0":"2026-03-01"},{"First payment date":"2025-01-01","Counterparty":"Dalton","Description":"Dalton","Amount":"$5000","Category":"Overhead Expenditures","Frequency":"monthly","Payment schedule_0":"2026-04-01"},{"First payment date":"2025-01-01","Counterparty":"Dalton","Description":"Dalton","Amount":"$5000","Category":"Overhead Expenditures","Frequency":"monthly","Payment schedule_0":"2026-05-01"},{"First payment date":"2025-01-01","Counterparty":"Dalton","Description":"Dalton","Amount":"$5000","Category":"Overhead Expenditures","Frequency":"monthly","Payment schedule_0":"2026-06-01"},{"First payment date":"2025-01-01","Counterparty":"Dalton","Description":"Dalton","Amount":"$5000","Category":"Overhead Expenditures","Frequency":"monthly","Payment schedule_0":"2026-07-01"}]</t>
  </si>
  <si>
    <t>Chase Inc</t>
  </si>
  <si>
    <t>Carrigan</t>
  </si>
  <si>
    <t>[{"First payment date":"2025-01-01","Counterparty":"Carrigan","Description":"Carrigan","Amount":"$3500","Category":"Sales&amp;Marketing Expenditures","Frequency":"monthly","Payment schedule_0":"2025-07-01"},{"First payment date":"2025-01-01","Counterparty":"Carrigan","Description":"Carrigan","Amount":"$3500","Category":"Sales&amp;Marketing Expenditures","Frequency":"monthly","Payment schedule_0":"2025-08-01"},{"First payment date":"2025-01-01","Counterparty":"Carrigan","Description":"Carrigan","Amount":"$3500","Category":"Sales&amp;Marketing Expenditures","Frequency":"monthly","Payment schedule_0":"2025-09-01"},{"First payment date":"2025-01-01","Counterparty":"Carrigan","Description":"Carrigan","Amount":"$3500","Category":"Sales&amp;Marketing Expenditures","Frequency":"monthly","Payment schedule_0":"2025-10-01"},{"First payment date":"2025-01-01","Counterparty":"Carrigan","Description":"Carrigan","Amount":"$3500","Category":"Sales&amp;Marketing Expenditures","Frequency":"monthly","Payment schedule_0":"2025-11-01"},{"First payment date":"2025-01-01","Counterparty":"Carrigan","Description":"Carrigan","Amount":"$3500","Category":"Sales&amp;Marketing Expenditures","Frequency":"monthly","Payment schedule_0":"2025-12-01"},{"First payment date":"2025-01-01","Counterparty":"Carrigan","Description":"Carrigan","Amount":"$3500","Category":"Sales&amp;Marketing Expenditures","Frequency":"monthly","Payment schedule_0":"2026-01-01"},{"First payment date":"2025-01-01","Counterparty":"Carrigan","Description":"Carrigan","Amount":"$3500","Category":"Sales&amp;Marketing Expenditures","Frequency":"monthly","Payment schedule_0":"2026-02-01"},{"First payment date":"2025-01-01","Counterparty":"Carrigan","Description":"Carrigan","Amount":"$3500","Category":"Sales&amp;Marketing Expenditures","Frequency":"monthly","Payment schedule_0":"2026-03-01"},{"First payment date":"2025-01-01","Counterparty":"Carrigan","Description":"Carrigan","Amount":"$3500","Category":"Sales&amp;Marketing Expenditures","Frequency":"monthly","Payment schedule_0":"2026-04-01"},{"First payment date":"2025-01-01","Counterparty":"Carrigan","Description":"Carrigan","Amount":"$3500","Category":"Sales&amp;Marketing Expenditures","Frequency":"monthly","Payment schedule_0":"2026-05-01"},{"First payment date":"2025-01-01","Counterparty":"Carrigan","Description":"Carrigan","Amount":"$3500","Category":"Sales&amp;Marketing Expenditures","Frequency":"monthly","Payment schedule_0":"2026-06-01"},{"First payment date":"2025-01-01","Counterparty":"Carrigan","Description":"Carrigan","Amount":"$3500","Category":"Sales&amp;Marketing Expenditures","Frequency":"monthly","Payment schedule_0":"2026-07-01"}]</t>
  </si>
  <si>
    <t>Swade</t>
  </si>
  <si>
    <t>[{"First payment date":"2025-01-01","Counterparty":"Swade","Description":"Swade","Amount":"$4000","Category":"Sales&amp;Marketing Expenditures","Frequency":"monthly","Payment schedule_0":"2025-07-01"},{"First payment date":"2025-01-01","Counterparty":"Swade","Description":"Swade","Amount":"$4000","Category":"Sales&amp;Marketing Expenditures","Frequency":"monthly","Payment schedule_0":"2025-08-01"},{"First payment date":"2025-01-01","Counterparty":"Swade","Description":"Swade","Amount":"$4000","Category":"Sales&amp;Marketing Expenditures","Frequency":"monthly","Payment schedule_0":"2025-09-01"},{"First payment date":"2025-01-01","Counterparty":"Swade","Description":"Swade","Amount":"$4000","Category":"Sales&amp;Marketing Expenditures","Frequency":"monthly","Payment schedule_0":"2025-10-01"},{"First payment date":"2025-01-01","Counterparty":"Swade","Description":"Swade","Amount":"$4000","Category":"Sales&amp;Marketing Expenditures","Frequency":"monthly","Payment schedule_0":"2025-11-01"},{"First payment date":"2025-01-01","Counterparty":"Swade","Description":"Swade","Amount":"$4000","Category":"Sales&amp;Marketing Expenditures","Frequency":"monthly","Payment schedule_0":"2025-12-01"},{"First payment date":"2025-01-01","Counterparty":"Swade","Description":"Swade","Amount":"$4000","Category":"Sales&amp;Marketing Expenditures","Frequency":"monthly","Payment schedule_0":"2026-01-01"},{"First payment date":"2025-01-01","Counterparty":"Swade","Description":"Swade","Amount":"$4000","Category":"Sales&amp;Marketing Expenditures","Frequency":"monthly","Payment schedule_0":"2026-02-01"},{"First payment date":"2025-01-01","Counterparty":"Swade","Description":"Swade","Amount":"$4000","Category":"Sales&amp;Marketing Expenditures","Frequency":"monthly","Payment schedule_0":"2026-03-01"},{"First payment date":"2025-01-01","Counterparty":"Swade","Description":"Swade","Amount":"$4000","Category":"Sales&amp;Marketing Expenditures","Frequency":"monthly","Payment schedule_0":"2026-04-01"},{"First payment date":"2025-01-01","Counterparty":"Swade","Description":"Swade","Amount":"$4000","Category":"Sales&amp;Marketing Expenditures","Frequency":"monthly","Payment schedule_0":"2026-05-01"},{"First payment date":"2025-01-01","Counterparty":"Swade","Description":"Swade","Amount":"$4000","Category":"Sales&amp;Marketing Expenditures","Frequency":"monthly","Payment schedule_0":"2026-06-01"},{"First payment date":"2025-01-01","Counterparty":"Swade","Description":"Swade","Amount":"$4000","Category":"Sales&amp;Marketing Expenditures","Frequency":"monthly","Payment schedule_0":"2026-07-01"}]</t>
  </si>
  <si>
    <t>Digicom</t>
  </si>
  <si>
    <t>[{"First payment date":"2025-01-01","Counterparty":"Digicom","Description":"Digicom","Amount":"$7000","Category":"Sales&amp;Marketing Expenditures","Frequency":"monthly","Payment schedule_0":"2025-07-01"},{"First payment date":"2025-01-01","Counterparty":"Digicom","Description":"Digicom","Amount":"$7000","Category":"Sales&amp;Marketing Expenditures","Frequency":"monthly","Payment schedule_0":"2025-08-01"},{"First payment date":"2025-01-01","Counterparty":"Digicom","Description":"Digicom","Amount":"$7000","Category":"Sales&amp;Marketing Expenditures","Frequency":"monthly","Payment schedule_0":"2025-09-01"},{"First payment date":"2025-01-01","Counterparty":"Digicom","Description":"Digicom","Amount":"$7000","Category":"Sales&amp;Marketing Expenditures","Frequency":"monthly","Payment schedule_0":"2025-10-01"},{"First payment date":"2025-01-01","Counterparty":"Digicom","Description":"Digicom","Amount":"$7000","Category":"Sales&amp;Marketing Expenditures","Frequency":"monthly","Payment schedule_0":"2025-11-01"},{"First payment date":"2025-01-01","Counterparty":"Digicom","Description":"Digicom","Amount":"$7000","Category":"Sales&amp;Marketing Expenditures","Frequency":"monthly","Payment schedule_0":"2025-12-01"},{"First payment date":"2025-01-01","Counterparty":"Digicom","Description":"Digicom","Amount":"$7000","Category":"Sales&amp;Marketing Expenditures","Frequency":"monthly","Payment schedule_0":"2026-01-01"},{"First payment date":"2025-01-01","Counterparty":"Digicom","Description":"Digicom","Amount":"$7000","Category":"Sales&amp;Marketing Expenditures","Frequency":"monthly","Payment schedule_0":"2026-02-01"},{"First payment date":"2025-01-01","Counterparty":"Digicom","Description":"Digicom","Amount":"$7000","Category":"Sales&amp;Marketing Expenditures","Frequency":"monthly","Payment schedule_0":"2026-03-01"},{"First payment date":"2025-01-01","Counterparty":"Digicom","Description":"Digicom","Amount":"$7000","Category":"Sales&amp;Marketing Expenditures","Frequency":"monthly","Payment schedule_0":"2026-04-01"},{"First payment date":"2025-01-01","Counterparty":"Digicom","Description":"Digicom","Amount":"$7000","Category":"Sales&amp;Marketing Expenditures","Frequency":"monthly","Payment schedule_0":"2026-05-01"},{"First payment date":"2025-01-01","Counterparty":"Digicom","Description":"Digicom","Amount":"$7000","Category":"Sales&amp;Marketing Expenditures","Frequency":"monthly","Payment schedule_0":"2026-06-01"},{"First payment date":"2025-01-01","Counterparty":"Digicom","Description":"Digicom","Amount":"$7000","Category":"Sales&amp;Marketing Expenditures","Frequency":"monthly","Payment schedule_0":"2026-07-01"}]</t>
  </si>
  <si>
    <t>Logical Position</t>
  </si>
  <si>
    <t>[{"First payment date":"2025-01-01","Counterparty":"Logical Position","Description":"Logical Position","Amount":"$500","Category":"Sales&amp;Marketing Expenditures","Frequency":"monthly","Payment schedule_0":"2025-07-01"},{"First payment date":"2025-01-01","Counterparty":"Logical Position","Description":"Logical Position","Amount":"$500","Category":"Sales&amp;Marketing Expenditures","Frequency":"monthly","Payment schedule_0":"2025-08-01"},{"First payment date":"2025-01-01","Counterparty":"Logical Position","Description":"Logical Position","Amount":"$500","Category":"Sales&amp;Marketing Expenditures","Frequency":"monthly","Payment schedule_0":"2025-09-01"},{"First payment date":"2025-01-01","Counterparty":"Logical Position","Description":"Logical Position","Amount":"$500","Category":"Sales&amp;Marketing Expenditures","Frequency":"monthly","Payment schedule_0":"2025-10-01"},{"First payment date":"2025-01-01","Counterparty":"Logical Position","Description":"Logical Position","Amount":"$500","Category":"Sales&amp;Marketing Expenditures","Frequency":"monthly","Payment schedule_0":"2025-11-01"},{"First payment date":"2025-01-01","Counterparty":"Logical Position","Description":"Logical Position","Amount":"$500","Category":"Sales&amp;Marketing Expenditures","Frequency":"monthly","Payment schedule_0":"2025-12-01"},{"First payment date":"2025-01-01","Counterparty":"Logical Position","Description":"Logical Position","Amount":"$500","Category":"Sales&amp;Marketing Expenditures","Frequency":"monthly","Payment schedule_0":"2026-01-01"},{"First payment date":"2025-01-01","Counterparty":"Logical Position","Description":"Logical Position","Amount":"$500","Category":"Sales&amp;Marketing Expenditures","Frequency":"monthly","Payment schedule_0":"2026-02-01"},{"First payment date":"2025-01-01","Counterparty":"Logical Position","Description":"Logical Position","Amount":"$500","Category":"Sales&amp;Marketing Expenditures","Frequency":"monthly","Payment schedule_0":"2026-03-01"},{"First payment date":"2025-01-01","Counterparty":"Logical Position","Description":"Logical Position","Amount":"$500","Category":"Sales&amp;Marketing Expenditures","Frequency":"monthly","Payment schedule_0":"2026-04-01"},{"First payment date":"2025-01-01","Counterparty":"Logical Position","Description":"Logical Position","Amount":"$500","Category":"Sales&amp;Marketing Expenditures","Frequency":"monthly","Payment schedule_0":"2026-05-01"},{"First payment date":"2025-01-01","Counterparty":"Logical Position","Description":"Logical Position","Amount":"$500","Category":"Sales&amp;Marketing Expenditures","Frequency":"monthly","Payment schedule_0":"2026-06-01"},{"First payment date":"2025-01-01","Counterparty":"Logical Position","Description":"Logical Position","Amount":"$500","Category":"Sales&amp;Marketing Expenditures","Frequency":"monthly","Payment schedule_0":"2026-07-01"}]</t>
  </si>
  <si>
    <t>[{"First payment date":"2025-01-01","Counterparty":"Shopify","Description":"Shopify","Amount":"$2000","Category":"Software","Frequency":"monthly","Payment schedule_0":"2025-07-01"},{"First payment date":"2025-01-01","Counterparty":"Shopify","Description":"Shopify","Amount":"$2000","Category":"Software","Frequency":"monthly","Payment schedule_0":"2025-08-01"},{"First payment date":"2025-01-01","Counterparty":"Shopify","Description":"Shopify","Amount":"$2000","Category":"Software","Frequency":"monthly","Payment schedule_0":"2025-09-01"},{"First payment date":"2025-01-01","Counterparty":"Shopify","Description":"Shopify","Amount":"$2000","Category":"Software","Frequency":"monthly","Payment schedule_0":"2025-10-01"},{"First payment date":"2025-01-01","Counterparty":"Shopify","Description":"Shopify","Amount":"$2000","Category":"Software","Frequency":"monthly","Payment schedule_0":"2025-11-01"},{"First payment date":"2025-01-01","Counterparty":"Shopify","Description":"Shopify","Amount":"$2000","Category":"Software","Frequency":"monthly","Payment schedule_0":"2025-12-01"},{"First payment date":"2025-01-01","Counterparty":"Shopify","Description":"Shopify","Amount":"$2000","Category":"Software","Frequency":"monthly","Payment schedule_0":"2026-01-01"},{"First payment date":"2025-01-01","Counterparty":"Shopify","Description":"Shopify","Amount":"$2000","Category":"Software","Frequency":"monthly","Payment schedule_0":"2026-02-01"},{"First payment date":"2025-01-01","Counterparty":"Shopify","Description":"Shopify","Amount":"$2000","Category":"Software","Frequency":"monthly","Payment schedule_0":"2026-03-01"},{"First payment date":"2025-01-01","Counterparty":"Shopify","Description":"Shopify","Amount":"$2000","Category":"Software","Frequency":"monthly","Payment schedule_0":"2026-04-01"},{"First payment date":"2025-01-01","Counterparty":"Shopify","Description":"Shopify","Amount":"$2000","Category":"Software","Frequency":"monthly","Payment schedule_0":"2026-05-01"},{"First payment date":"2025-01-01","Counterparty":"Shopify","Description":"Shopify","Amount":"$2000","Category":"Software","Frequency":"monthly","Payment schedule_0":"2026-06-01"},{"First payment date":"2025-01-01","Counterparty":"Shopify","Description":"Shopify","Amount":"$2000","Category":"Software","Frequency":"monthly","Payment schedule_0":"2026-07-01"}]</t>
  </si>
  <si>
    <t>Melissa</t>
  </si>
  <si>
    <t>[{"First payment date":"2025-01-01","Counterparty":"Melissa","Description":"Melissa","Amount":"$3000","Category":"Sales&amp;Marketing Expenditures","Frequency":"monthly","Payment schedule_0":"2025-07-01"},{"First payment date":"2025-01-01","Counterparty":"Melissa","Description":"Melissa","Amount":"$3000","Category":"Sales&amp;Marketing Expenditures","Frequency":"monthly","Payment schedule_0":"2025-08-01"},{"First payment date":"2025-01-01","Counterparty":"Melissa","Description":"Melissa","Amount":"$3000","Category":"Sales&amp;Marketing Expenditures","Frequency":"monthly","Payment schedule_0":"2025-09-01"},{"First payment date":"2025-01-01","Counterparty":"Melissa","Description":"Melissa","Amount":"$3000","Category":"Sales&amp;Marketing Expenditures","Frequency":"monthly","Payment schedule_0":"2025-10-01"},{"First payment date":"2025-01-01","Counterparty":"Melissa","Description":"Melissa","Amount":"$3000","Category":"Sales&amp;Marketing Expenditures","Frequency":"monthly","Payment schedule_0":"2025-11-01"},{"First payment date":"2025-01-01","Counterparty":"Melissa","Description":"Melissa","Amount":"$3000","Category":"Sales&amp;Marketing Expenditures","Frequency":"monthly","Payment schedule_0":"2025-12-01"},{"First payment date":"2025-01-01","Counterparty":"Melissa","Description":"Melissa","Amount":"$3000","Category":"Sales&amp;Marketing Expenditures","Frequency":"monthly","Payment schedule_0":"2026-01-01"},{"First payment date":"2025-01-01","Counterparty":"Melissa","Description":"Melissa","Amount":"$3000","Category":"Sales&amp;Marketing Expenditures","Frequency":"monthly","Payment schedule_0":"2026-02-01"},{"First payment date":"2025-01-01","Counterparty":"Melissa","Description":"Melissa","Amount":"$3000","Category":"Sales&amp;Marketing Expenditures","Frequency":"monthly","Payment schedule_0":"2026-03-01"},{"First payment date":"2025-01-01","Counterparty":"Melissa","Description":"Melissa","Amount":"$3000","Category":"Sales&amp;Marketing Expenditures","Frequency":"monthly","Payment schedule_0":"2026-04-01"},{"First payment date":"2025-01-01","Counterparty":"Melissa","Description":"Melissa","Amount":"$3000","Category":"Sales&amp;Marketing Expenditures","Frequency":"monthly","Payment schedule_0":"2026-05-01"},{"First payment date":"2025-01-01","Counterparty":"Melissa","Description":"Melissa","Amount":"$3000","Category":"Sales&amp;Marketing Expenditures","Frequency":"monthly","Payment schedule_0":"2026-06-01"},{"First payment date":"2025-01-01","Counterparty":"Melissa","Description":"Melissa","Amount":"$3000","Category":"Sales&amp;Marketing Expenditures","Frequency":"monthly","Payment schedule_0":"2026-07-01"}]</t>
  </si>
  <si>
    <t>Infoplus</t>
  </si>
  <si>
    <t>[{"First payment date":"2025-01-01","Counterparty":"Infoplus","Description":"Infoplus","Amount":"$1145","Category":"Software","Frequency":"monthly","Payment schedule_0":"2025-07-01"},{"First payment date":"2025-01-01","Counterparty":"Infoplus","Description":"Infoplus","Amount":"$1145","Category":"Software","Frequency":"monthly","Payment schedule_0":"2025-08-01"},{"First payment date":"2025-01-01","Counterparty":"Infoplus","Description":"Infoplus","Amount":"$1145","Category":"Software","Frequency":"monthly","Payment schedule_0":"2025-09-01"},{"First payment date":"2025-01-01","Counterparty":"Infoplus","Description":"Infoplus","Amount":"$1145","Category":"Software","Frequency":"monthly","Payment schedule_0":"2025-10-01"},{"First payment date":"2025-01-01","Counterparty":"Infoplus","Description":"Infoplus","Amount":"$1145","Category":"Software","Frequency":"monthly","Payment schedule_0":"2025-11-01"},{"First payment date":"2025-01-01","Counterparty":"Infoplus","Description":"Infoplus","Amount":"$1145","Category":"Software","Frequency":"monthly","Payment schedule_0":"2025-12-01"},{"First payment date":"2025-01-01","Counterparty":"Infoplus","Description":"Infoplus","Amount":"$1145","Category":"Software","Frequency":"monthly","Payment schedule_0":"2026-01-01"},{"First payment date":"2025-01-01","Counterparty":"Infoplus","Description":"Infoplus","Amount":"$1145","Category":"Software","Frequency":"monthly","Payment schedule_0":"2026-02-01"},{"First payment date":"2025-01-01","Counterparty":"Infoplus","Description":"Infoplus","Amount":"$1145","Category":"Software","Frequency":"monthly","Payment schedule_0":"2026-03-01"},{"First payment date":"2025-01-01","Counterparty":"Infoplus","Description":"Infoplus","Amount":"$1145","Category":"Software","Frequency":"monthly","Payment schedule_0":"2026-04-01"},{"First payment date":"2025-01-01","Counterparty":"Infoplus","Description":"Infoplus","Amount":"$1145","Category":"Software","Frequency":"monthly","Payment schedule_0":"2026-05-01"},{"First payment date":"2025-01-01","Counterparty":"Infoplus","Description":"Infoplus","Amount":"$1145","Category":"Software","Frequency":"monthly","Payment schedule_0":"2026-06-01"},{"First payment date":"2025-01-01","Counterparty":"Infoplus","Description":"Infoplus","Amount":"$1145","Category":"Software","Frequency":"monthly","Payment schedule_0":"2026-07-01"}]</t>
  </si>
  <si>
    <t>Klaviyo</t>
  </si>
  <si>
    <t>[{"First payment date":"2025-01-01","Counterparty":"Klaviyo","Description":"Klaviyo","Amount":"$1000","Category":"Software","Frequency":"monthly","Payment schedule_0":"2025-07-01"},{"First payment date":"2025-01-01","Counterparty":"Klaviyo","Description":"Klaviyo","Amount":"$1000","Category":"Software","Frequency":"monthly","Payment schedule_0":"2025-08-01"},{"First payment date":"2025-01-01","Counterparty":"Klaviyo","Description":"Klaviyo","Amount":"$1000","Category":"Software","Frequency":"monthly","Payment schedule_0":"2025-09-01"},{"First payment date":"2025-01-01","Counterparty":"Klaviyo","Description":"Klaviyo","Amount":"$1000","Category":"Software","Frequency":"monthly","Payment schedule_0":"2025-10-01"},{"First payment date":"2025-01-01","Counterparty":"Klaviyo","Description":"Klaviyo","Amount":"$1000","Category":"Software","Frequency":"monthly","Payment schedule_0":"2025-11-01"},{"First payment date":"2025-01-01","Counterparty":"Klaviyo","Description":"Klaviyo","Amount":"$1000","Category":"Software","Frequency":"monthly","Payment schedule_0":"2025-12-01"},{"First payment date":"2025-01-01","Counterparty":"Klaviyo","Description":"Klaviyo","Amount":"$1000","Category":"Software","Frequency":"monthly","Payment schedule_0":"2026-01-01"},{"First payment date":"2025-01-01","Counterparty":"Klaviyo","Description":"Klaviyo","Amount":"$1000","Category":"Software","Frequency":"monthly","Payment schedule_0":"2026-02-01"},{"First payment date":"2025-01-01","Counterparty":"Klaviyo","Description":"Klaviyo","Amount":"$1000","Category":"Software","Frequency":"monthly","Payment schedule_0":"2026-03-01"},{"First payment date":"2025-01-01","Counterparty":"Klaviyo","Description":"Klaviyo","Amount":"$1000","Category":"Software","Frequency":"monthly","Payment schedule_0":"2026-04-01"},{"First payment date":"2025-01-01","Counterparty":"Klaviyo","Description":"Klaviyo","Amount":"$1000","Category":"Software","Frequency":"monthly","Payment schedule_0":"2026-05-01"},{"First payment date":"2025-01-01","Counterparty":"Klaviyo","Description":"Klaviyo","Amount":"$1000","Category":"Software","Frequency":"monthly","Payment schedule_0":"2026-06-01"},{"First payment date":"2025-01-01","Counterparty":"Klaviyo","Description":"Klaviyo","Amount":"$1000","Category":"Software","Frequency":"monthly","Payment schedule_0":"2026-07-01"}]</t>
  </si>
  <si>
    <t>Loop Returns</t>
  </si>
  <si>
    <t>[{"First payment date":"2025-01-01","Counterparty":"Loop Returns","Description":"Loop Returns","Amount":"$500","Category":"Software","Frequency":"monthly","Payment schedule_0":"2025-07-01"},{"First payment date":"2025-01-01","Counterparty":"Loop Returns","Description":"Loop Returns","Amount":"$500","Category":"Software","Frequency":"monthly","Payment schedule_0":"2025-08-01"},{"First payment date":"2025-01-01","Counterparty":"Loop Returns","Description":"Loop Returns","Amount":"$500","Category":"Software","Frequency":"monthly","Payment schedule_0":"2025-09-01"},{"First payment date":"2025-01-01","Counterparty":"Loop Returns","Description":"Loop Returns","Amount":"$500","Category":"Software","Frequency":"monthly","Payment schedule_0":"2025-10-01"},{"First payment date":"2025-01-01","Counterparty":"Loop Returns","Description":"Loop Returns","Amount":"$500","Category":"Software","Frequency":"monthly","Payment schedule_0":"2025-11-01"},{"First payment date":"2025-01-01","Counterparty":"Loop Returns","Description":"Loop Returns","Amount":"$500","Category":"Software","Frequency":"monthly","Payment schedule_0":"2025-12-01"},{"First payment date":"2025-01-01","Counterparty":"Loop Returns","Description":"Loop Returns","Amount":"$500","Category":"Software","Frequency":"monthly","Payment schedule_0":"2026-01-01"},{"First payment date":"2025-01-01","Counterparty":"Loop Returns","Description":"Loop Returns","Amount":"$500","Category":"Software","Frequency":"monthly","Payment schedule_0":"2026-02-01"},{"First payment date":"2025-01-01","Counterparty":"Loop Returns","Description":"Loop Returns","Amount":"$500","Category":"Software","Frequency":"monthly","Payment schedule_0":"2026-03-01"},{"First payment date":"2025-01-01","Counterparty":"Loop Returns","Description":"Loop Returns","Amount":"$500","Category":"Software","Frequency":"monthly","Payment schedule_0":"2026-04-01"},{"First payment date":"2025-01-01","Counterparty":"Loop Returns","Description":"Loop Returns","Amount":"$500","Category":"Software","Frequency":"monthly","Payment schedule_0":"2026-05-01"},{"First payment date":"2025-01-01","Counterparty":"Loop Returns","Description":"Loop Returns","Amount":"$500","Category":"Software","Frequency":"monthly","Payment schedule_0":"2026-06-01"},{"First payment date":"2025-01-01","Counterparty":"Loop Returns","Description":"Loop Returns","Amount":"$500","Category":"Software","Frequency":"monthly","Payment schedule_0":"2026-07-01"}]</t>
  </si>
  <si>
    <t>Forklift</t>
  </si>
  <si>
    <t>[{"First payment date":"2025-01-01","Counterparty":"Forklift","Description":"Forklift","Amount":"$688","Category":"Overhead Expenditures","Frequency":"monthly","Payment schedule_0":"2025-07-01"},{"First payment date":"2025-01-01","Counterparty":"Forklift","Description":"Forklift","Amount":"$688","Category":"Overhead Expenditures","Frequency":"monthly","Payment schedule_0":"2025-08-01"},{"First payment date":"2025-01-01","Counterparty":"Forklift","Description":"Forklift","Amount":"$688","Category":"Overhead Expenditures","Frequency":"monthly","Payment schedule_0":"2025-09-01"},{"First payment date":"2025-01-01","Counterparty":"Forklift","Description":"Forklift","Amount":"$688","Category":"Overhead Expenditures","Frequency":"monthly","Payment schedule_0":"2025-10-01"},{"First payment date":"2025-01-01","Counterparty":"Forklift","Description":"Forklift","Amount":"$688","Category":"Overhead Expenditures","Frequency":"monthly","Payment schedule_0":"2025-11-01"},{"First payment date":"2025-01-01","Counterparty":"Forklift","Description":"Forklift","Amount":"$688","Category":"Overhead Expenditures","Frequency":"monthly","Payment schedule_0":"2025-12-01"},{"First payment date":"2025-01-01","Counterparty":"Forklift","Description":"Forklift","Amount":"$688","Category":"Overhead Expenditures","Frequency":"monthly","Payment schedule_0":"2026-01-01"},{"First payment date":"2025-01-01","Counterparty":"Forklift","Description":"Forklift","Amount":"$688","Category":"Overhead Expenditures","Frequency":"monthly","Payment schedule_0":"2026-02-01"},{"First payment date":"2025-01-01","Counterparty":"Forklift","Description":"Forklift","Amount":"$688","Category":"Overhead Expenditures","Frequency":"monthly","Payment schedule_0":"2026-03-01"},{"First payment date":"2025-01-01","Counterparty":"Forklift","Description":"Forklift","Amount":"$688","Category":"Overhead Expenditures","Frequency":"monthly","Payment schedule_0":"2026-04-01"},{"First payment date":"2025-01-01","Counterparty":"Forklift","Description":"Forklift","Amount":"$688","Category":"Overhead Expenditures","Frequency":"monthly","Payment schedule_0":"2026-05-01"},{"First payment date":"2025-01-01","Counterparty":"Forklift","Description":"Forklift","Amount":"$688","Category":"Overhead Expenditures","Frequency":"monthly","Payment schedule_0":"2026-06-01"},{"First payment date":"2025-01-01","Counterparty":"Forklift","Description":"Forklift","Amount":"$688","Category":"Overhead Expenditures","Frequency":"monthly","Payment schedule_0":"2026-07-01"}]</t>
  </si>
  <si>
    <t>Bobby/Peggy</t>
  </si>
  <si>
    <t>Interest Expenditures</t>
  </si>
  <si>
    <t>quarterly</t>
  </si>
  <si>
    <t>[{"First payment date":"2025-01-01","Counterparty":"Bobby/Peggy","Description":"Bobby/Peggy","Amount":"$2500","Category":"Interest Expenditures","Frequency":"quarterly","Payment schedule_0":"2025-07-01"},{"First payment date":"2025-01-01","Counterparty":"Bobby/Peggy","Description":"Bobby/Peggy","Amount":"$2500","Category":"Interest Expenditures","Frequency":"quarterly","Payment schedule_0":"2025-10-01"},{"First payment date":"2025-01-01","Counterparty":"Bobby/Peggy","Description":"Bobby/Peggy","Amount":"$2500","Category":"Interest Expenditures","Frequency":"quarterly","Payment schedule_0":"2026-01-01"},{"First payment date":"2025-01-01","Counterparty":"Bobby/Peggy","Description":"Bobby/Peggy","Amount":"$2500","Category":"Interest Expenditures","Frequency":"quarterly","Payment schedule_0":"2026-04-01"},{"First payment date":"2025-01-01","Counterparty":"Bobby/Peggy","Description":"Bobby/Peggy","Amount":"$2500","Category":"Interest Expenditures","Frequency":"quarterly","Payment schedule_0":"2026-07-01"},{"First payment date":"2025-01-01","Counterparty":"Bobby/Peggy","Description":"Bobby/Peggy","Amount":"$2500","Category":"Interest Expenditures","Frequency":"quarterly","Payment schedule_0":"2026-10-01"},{"First payment date":"2025-01-01","Counterparty":"Bobby/Peggy","Description":"Bobby/Peggy","Amount":"$2500","Category":"Interest Expenditures","Frequency":"quarterly","Payment schedule_0":"2027-01-01"},{"First payment date":"2025-01-01","Counterparty":"Bobby/Peggy","Description":"Bobby/Peggy","Amount":"$2500","Category":"Interest Expenditures","Frequency":"quarterly","Payment schedule_0":"2027-04-01"},{"First payment date":"2025-01-01","Counterparty":"Bobby/Peggy","Description":"Bobby/Peggy","Amount":"$2500","Category":"Interest Expenditures","Frequency":"quarterly","Payment schedule_0":"2027-07-01"},{"First payment date":"2025-01-01","Counterparty":"Bobby/Peggy","Description":"Bobby/Peggy","Amount":"$2500","Category":"Interest Expenditures","Frequency":"quarterly","Payment schedule_0":"2027-10-01"},{"First payment date":"2025-01-01","Counterparty":"Bobby/Peggy","Description":"Bobby/Peggy","Amount":"$2500","Category":"Interest Expenditures","Frequency":"quarterly","Payment schedule_0":"2028-01-01"},{"First payment date":"2025-01-01","Counterparty":"Bobby/Peggy","Description":"Bobby/Peggy","Amount":"$2500","Category":"Interest Expenditures","Frequency":"quarterly","Payment schedule_0":"2028-04-01"},{"First payment date":"2025-01-01","Counterparty":"Bobby/Peggy","Description":"Bobby/Peggy","Amount":"$2500","Category":"Interest Expenditures","Frequency":"quarterly","Payment schedule_0":"2028-07-01"}]</t>
  </si>
  <si>
    <t>Easyship</t>
  </si>
  <si>
    <t>[{"First payment date":"2025-01-01","Counterparty":"Easyship","Description":"Easyship","Amount":"$100","Category":"Software","Frequency":"monthly","Payment schedule_0":"2025-07-01"},{"First payment date":"2025-01-01","Counterparty":"Easyship","Description":"Easyship","Amount":"$100","Category":"Software","Frequency":"monthly","Payment schedule_0":"2025-08-01"},{"First payment date":"2025-01-01","Counterparty":"Easyship","Description":"Easyship","Amount":"$100","Category":"Software","Frequency":"monthly","Payment schedule_0":"2025-09-01"},{"First payment date":"2025-01-01","Counterparty":"Easyship","Description":"Easyship","Amount":"$100","Category":"Software","Frequency":"monthly","Payment schedule_0":"2025-10-01"},{"First payment date":"2025-01-01","Counterparty":"Easyship","Description":"Easyship","Amount":"$100","Category":"Software","Frequency":"monthly","Payment schedule_0":"2025-11-01"},{"First payment date":"2025-01-01","Counterparty":"Easyship","Description":"Easyship","Amount":"$100","Category":"Software","Frequency":"monthly","Payment schedule_0":"2025-12-01"},{"First payment date":"2025-01-01","Counterparty":"Easyship","Description":"Easyship","Amount":"$100","Category":"Software","Frequency":"monthly","Payment schedule_0":"2026-01-01"},{"First payment date":"2025-01-01","Counterparty":"Easyship","Description":"Easyship","Amount":"$100","Category":"Software","Frequency":"monthly","Payment schedule_0":"2026-02-01"},{"First payment date":"2025-01-01","Counterparty":"Easyship","Description":"Easyship","Amount":"$100","Category":"Software","Frequency":"monthly","Payment schedule_0":"2026-03-01"},{"First payment date":"2025-01-01","Counterparty":"Easyship","Description":"Easyship","Amount":"$100","Category":"Software","Frequency":"monthly","Payment schedule_0":"2026-04-01"},{"First payment date":"2025-01-01","Counterparty":"Easyship","Description":"Easyship","Amount":"$100","Category":"Software","Frequency":"monthly","Payment schedule_0":"2026-05-01"},{"First payment date":"2025-01-01","Counterparty":"Easyship","Description":"Easyship","Amount":"$100","Category":"Software","Frequency":"monthly","Payment schedule_0":"2026-06-01"},{"First payment date":"2025-01-01","Counterparty":"Easyship","Description":"Easyship","Amount":"$100","Category":"Software","Frequency":"monthly","Payment schedule_0":"2026-07-01"}]</t>
  </si>
  <si>
    <t>Triplewhale</t>
  </si>
  <si>
    <t>[{"First payment date":"2025-01-01","Counterparty":"Triplewhale","Description":"Triplewhale","Amount":"$575","Category":"Software","Frequency":"monthly","Payment schedule_0":"2025-07-01"},{"First payment date":"2025-01-01","Counterparty":"Triplewhale","Description":"Triplewhale","Amount":"$575","Category":"Software","Frequency":"monthly","Payment schedule_0":"2025-08-01"},{"First payment date":"2025-01-01","Counterparty":"Triplewhale","Description":"Triplewhale","Amount":"$575","Category":"Software","Frequency":"monthly","Payment schedule_0":"2025-09-01"},{"First payment date":"2025-01-01","Counterparty":"Triplewhale","Description":"Triplewhale","Amount":"$575","Category":"Software","Frequency":"monthly","Payment schedule_0":"2025-10-01"},{"First payment date":"2025-01-01","Counterparty":"Triplewhale","Description":"Triplewhale","Amount":"$575","Category":"Software","Frequency":"monthly","Payment schedule_0":"2025-11-01"},{"First payment date":"2025-01-01","Counterparty":"Triplewhale","Description":"Triplewhale","Amount":"$575","Category":"Software","Frequency":"monthly","Payment schedule_0":"2025-12-01"},{"First payment date":"2025-01-01","Counterparty":"Triplewhale","Description":"Triplewhale","Amount":"$575","Category":"Software","Frequency":"monthly","Payment schedule_0":"2026-01-01"},{"First payment date":"2025-01-01","Counterparty":"Triplewhale","Description":"Triplewhale","Amount":"$575","Category":"Software","Frequency":"monthly","Payment schedule_0":"2026-02-01"},{"First payment date":"2025-01-01","Counterparty":"Triplewhale","Description":"Triplewhale","Amount":"$575","Category":"Software","Frequency":"monthly","Payment schedule_0":"2026-03-01"},{"First payment date":"2025-01-01","Counterparty":"Triplewhale","Description":"Triplewhale","Amount":"$575","Category":"Software","Frequency":"monthly","Payment schedule_0":"2026-04-01"},{"First payment date":"2025-01-01","Counterparty":"Triplewhale","Description":"Triplewhale","Amount":"$575","Category":"Software","Frequency":"monthly","Payment schedule_0":"2026-05-01"},{"First payment date":"2025-01-01","Counterparty":"Triplewhale","Description":"Triplewhale","Amount":"$575","Category":"Software","Frequency":"monthly","Payment schedule_0":"2026-06-01"},{"First payment date":"2025-01-01","Counterparty":"Triplewhale","Description":"Triplewhale","Amount":"$575","Category":"Software","Frequency":"monthly","Payment schedule_0":"2026-07-01"}]</t>
  </si>
  <si>
    <t>Adobe</t>
  </si>
  <si>
    <t>[{"First payment date":"2025-01-01","Counterparty":"Adobe","Description":"Adobe","Amount":"$279","Category":"Software","Frequency":"monthly","Payment schedule_0":"2025-07-01"},{"First payment date":"2025-01-01","Counterparty":"Adobe","Description":"Adobe","Amount":"$279","Category":"Software","Frequency":"monthly","Payment schedule_0":"2025-08-01"},{"First payment date":"2025-01-01","Counterparty":"Adobe","Description":"Adobe","Amount":"$279","Category":"Software","Frequency":"monthly","Payment schedule_0":"2025-09-01"},{"First payment date":"2025-01-01","Counterparty":"Adobe","Description":"Adobe","Amount":"$279","Category":"Software","Frequency":"monthly","Payment schedule_0":"2025-10-01"},{"First payment date":"2025-01-01","Counterparty":"Adobe","Description":"Adobe","Amount":"$279","Category":"Software","Frequency":"monthly","Payment schedule_0":"2025-11-01"},{"First payment date":"2025-01-01","Counterparty":"Adobe","Description":"Adobe","Amount":"$279","Category":"Software","Frequency":"monthly","Payment schedule_0":"2025-12-01"},{"First payment date":"2025-01-01","Counterparty":"Adobe","Description":"Adobe","Amount":"$279","Category":"Software","Frequency":"monthly","Payment schedule_0":"2026-01-01"},{"First payment date":"2025-01-01","Counterparty":"Adobe","Description":"Adobe","Amount":"$279","Category":"Software","Frequency":"monthly","Payment schedule_0":"2026-02-01"},{"First payment date":"2025-01-01","Counterparty":"Adobe","Description":"Adobe","Amount":"$279","Category":"Software","Frequency":"monthly","Payment schedule_0":"2026-03-01"},{"First payment date":"2025-01-01","Counterparty":"Adobe","Description":"Adobe","Amount":"$279","Category":"Software","Frequency":"monthly","Payment schedule_0":"2026-04-01"},{"First payment date":"2025-01-01","Counterparty":"Adobe","Description":"Adobe","Amount":"$279","Category":"Software","Frequency":"monthly","Payment schedule_0":"2026-05-01"},{"First payment date":"2025-01-01","Counterparty":"Adobe","Description":"Adobe","Amount":"$279","Category":"Software","Frequency":"monthly","Payment schedule_0":"2026-06-01"},{"First payment date":"2025-01-01","Counterparty":"Adobe","Description":"Adobe","Amount":"$279","Category":"Software","Frequency":"monthly","Payment schedule_0":"2026-07-01"}]</t>
  </si>
  <si>
    <t>Replo</t>
  </si>
  <si>
    <t>[{"First payment date":"2025-01-01","Counterparty":"Replo","Description":"Replo","Amount":"$100","Category":"Software","Frequency":"monthly","Payment schedule_0":"2025-07-01"},{"First payment date":"2025-01-01","Counterparty":"Replo","Description":"Replo","Amount":"$100","Category":"Software","Frequency":"monthly","Payment schedule_0":"2025-08-01"},{"First payment date":"2025-01-01","Counterparty":"Replo","Description":"Replo","Amount":"$100","Category":"Software","Frequency":"monthly","Payment schedule_0":"2025-09-01"},{"First payment date":"2025-01-01","Counterparty":"Replo","Description":"Replo","Amount":"$100","Category":"Software","Frequency":"monthly","Payment schedule_0":"2025-10-01"},{"First payment date":"2025-01-01","Counterparty":"Replo","Description":"Replo","Amount":"$100","Category":"Software","Frequency":"monthly","Payment schedule_0":"2025-11-01"},{"First payment date":"2025-01-01","Counterparty":"Replo","Description":"Replo","Amount":"$100","Category":"Software","Frequency":"monthly","Payment schedule_0":"2025-12-01"},{"First payment date":"2025-01-01","Counterparty":"Replo","Description":"Replo","Amount":"$100","Category":"Software","Frequency":"monthly","Payment schedule_0":"2026-01-01"},{"First payment date":"2025-01-01","Counterparty":"Replo","Description":"Replo","Amount":"$100","Category":"Software","Frequency":"monthly","Payment schedule_0":"2026-02-01"},{"First payment date":"2025-01-01","Counterparty":"Replo","Description":"Replo","Amount":"$100","Category":"Software","Frequency":"monthly","Payment schedule_0":"2026-03-01"},{"First payment date":"2025-01-01","Counterparty":"Replo","Description":"Replo","Amount":"$100","Category":"Software","Frequency":"monthly","Payment schedule_0":"2026-04-01"},{"First payment date":"2025-01-01","Counterparty":"Replo","Description":"Replo","Amount":"$100","Category":"Software","Frequency":"monthly","Payment schedule_0":"2026-05-01"},{"First payment date":"2025-01-01","Counterparty":"Replo","Description":"Replo","Amount":"$100","Category":"Software","Frequency":"monthly","Payment schedule_0":"2026-06-01"},{"First payment date":"2025-01-01","Counterparty":"Replo","Description":"Replo","Amount":"$100","Category":"Software","Frequency":"monthly","Payment schedule_0":"2026-07-01"}]</t>
  </si>
  <si>
    <t>Gorgias</t>
  </si>
  <si>
    <t>[{"First payment date":"2025-01-01","Counterparty":"Gorgias","Description":"Gorgias","Amount":"$100","Category":"Software","Frequency":"monthly","Payment schedule_0":"2025-07-01"},{"First payment date":"2025-01-01","Counterparty":"Gorgias","Description":"Gorgias","Amount":"$100","Category":"Software","Frequency":"monthly","Payment schedule_0":"2025-08-01"},{"First payment date":"2025-01-01","Counterparty":"Gorgias","Description":"Gorgias","Amount":"$100","Category":"Software","Frequency":"monthly","Payment schedule_0":"2025-09-01"},{"First payment date":"2025-01-01","Counterparty":"Gorgias","Description":"Gorgias","Amount":"$100","Category":"Software","Frequency":"monthly","Payment schedule_0":"2025-10-01"},{"First payment date":"2025-01-01","Counterparty":"Gorgias","Description":"Gorgias","Amount":"$100","Category":"Software","Frequency":"monthly","Payment schedule_0":"2025-11-01"},{"First payment date":"2025-01-01","Counterparty":"Gorgias","Description":"Gorgias","Amount":"$100","Category":"Software","Frequency":"monthly","Payment schedule_0":"2025-12-01"},{"First payment date":"2025-01-01","Counterparty":"Gorgias","Description":"Gorgias","Amount":"$100","Category":"Software","Frequency":"monthly","Payment schedule_0":"2026-01-01"},{"First payment date":"2025-01-01","Counterparty":"Gorgias","Description":"Gorgias","Amount":"$100","Category":"Software","Frequency":"monthly","Payment schedule_0":"2026-02-01"},{"First payment date":"2025-01-01","Counterparty":"Gorgias","Description":"Gorgias","Amount":"$100","Category":"Software","Frequency":"monthly","Payment schedule_0":"2026-03-01"},{"First payment date":"2025-01-01","Counterparty":"Gorgias","Description":"Gorgias","Amount":"$100","Category":"Software","Frequency":"monthly","Payment schedule_0":"2026-04-01"},{"First payment date":"2025-01-01","Counterparty":"Gorgias","Description":"Gorgias","Amount":"$100","Category":"Software","Frequency":"monthly","Payment schedule_0":"2026-05-01"},{"First payment date":"2025-01-01","Counterparty":"Gorgias","Description":"Gorgias","Amount":"$100","Category":"Software","Frequency":"monthly","Payment schedule_0":"2026-06-01"},{"First payment date":"2025-01-01","Counterparty":"Gorgias","Description":"Gorgias","Amount":"$100","Category":"Software","Frequency":"monthly","Payment schedule_0":"2026-07-01"}]</t>
  </si>
  <si>
    <t>Insurance</t>
  </si>
  <si>
    <t>[{"First payment date":"2025-01-01","Counterparty":"Insurance","Description":"Insurance","Amount":"$888","Category":"Overhead Expenditures","Frequency":"monthly","Payment schedule_0":"2025-07-01"},{"First payment date":"2025-01-01","Counterparty":"Insurance","Description":"Insurance","Amount":"$888","Category":"Overhead Expenditures","Frequency":"monthly","Payment schedule_0":"2025-08-01"},{"First payment date":"2025-01-01","Counterparty":"Insurance","Description":"Insurance","Amount":"$888","Category":"Overhead Expenditures","Frequency":"monthly","Payment schedule_0":"2025-09-01"},{"First payment date":"2025-01-01","Counterparty":"Insurance","Description":"Insurance","Amount":"$888","Category":"Overhead Expenditures","Frequency":"monthly","Payment schedule_0":"2025-10-01"},{"First payment date":"2025-01-01","Counterparty":"Insurance","Description":"Insurance","Amount":"$888","Category":"Overhead Expenditures","Frequency":"monthly","Payment schedule_0":"2025-11-01"},{"First payment date":"2025-01-01","Counterparty":"Insurance","Description":"Insurance","Amount":"$888","Category":"Overhead Expenditures","Frequency":"monthly","Payment schedule_0":"2025-12-01"},{"First payment date":"2025-01-01","Counterparty":"Insurance","Description":"Insurance","Amount":"$888","Category":"Overhead Expenditures","Frequency":"monthly","Payment schedule_0":"2026-01-01"},{"First payment date":"2025-01-01","Counterparty":"Insurance","Description":"Insurance","Amount":"$888","Category":"Overhead Expenditures","Frequency":"monthly","Payment schedule_0":"2026-02-01"},{"First payment date":"2025-01-01","Counterparty":"Insurance","Description":"Insurance","Amount":"$888","Category":"Overhead Expenditures","Frequency":"monthly","Payment schedule_0":"2026-03-01"},{"First payment date":"2025-01-01","Counterparty":"Insurance","Description":"Insurance","Amount":"$888","Category":"Overhead Expenditures","Frequency":"monthly","Payment schedule_0":"2026-04-01"},{"First payment date":"2025-01-01","Counterparty":"Insurance","Description":"Insurance","Amount":"$888","Category":"Overhead Expenditures","Frequency":"monthly","Payment schedule_0":"2026-05-01"},{"First payment date":"2025-01-01","Counterparty":"Insurance","Description":"Insurance","Amount":"$888","Category":"Overhead Expenditures","Frequency":"monthly","Payment schedule_0":"2026-06-01"},{"First payment date":"2025-01-01","Counterparty":"Insurance","Description":"Insurance","Amount":"$888","Category":"Overhead Expenditures","Frequency":"monthly","Payment schedule_0":"2026-07-01"}]</t>
  </si>
  <si>
    <t>Angel</t>
  </si>
  <si>
    <t>bi-weekly</t>
  </si>
  <si>
    <t>[{"First payment date":"2025-04-18","Counterparty":"Angel","Description":"Payroll","Amount":"$1700.40","Category":"Payroll","Frequency":"bi-weekly","Payment schedule_0":"2025-06-27"},{"First payment date":"2025-04-18","Counterparty":"Angel","Description":"Payroll","Amount":"$1700.40","Category":"Payroll","Frequency":"bi-weekly","Payment schedule_0":"2025-07-11"},{"First payment date":"2025-04-18","Counterparty":"Angel","Description":"Payroll","Amount":"$1700.40","Category":"Payroll","Frequency":"bi-weekly","Payment schedule_0":"2025-07-25"},{"First payment date":"2025-04-18","Counterparty":"Angel","Description":"Payroll","Amount":"$1700.40","Category":"Payroll","Frequency":"bi-weekly","Payment schedule_0":"2025-08-08"},{"First payment date":"2025-04-18","Counterparty":"Angel","Description":"Payroll","Amount":"$1700.40","Category":"Payroll","Frequency":"bi-weekly","Payment schedule_0":"2025-08-22"},{"First payment date":"2025-04-18","Counterparty":"Angel","Description":"Payroll","Amount":"$1700.40","Category":"Payroll","Frequency":"bi-weekly","Payment schedule_0":"2025-09-05"},{"First payment date":"2025-04-18","Counterparty":"Angel","Description":"Payroll","Amount":"$1700.40","Category":"Payroll","Frequency":"bi-weekly","Payment schedule_0":"2025-09-19"},{"First payment date":"2025-04-18","Counterparty":"Angel","Description":"Payroll","Amount":"$1700.40","Category":"Payroll","Frequency":"bi-weekly","Payment schedule_0":"2025-10-03"},{"First payment date":"2025-04-18","Counterparty":"Angel","Description":"Payroll","Amount":"$1700.40","Category":"Payroll","Frequency":"bi-weekly","Payment schedule_0":"2025-10-17"},{"First payment date":"2025-04-18","Counterparty":"Angel","Description":"Payroll","Amount":"$1700.40","Category":"Payroll","Frequency":"bi-weekly","Payment schedule_0":"2025-10-31"},{"First payment date":"2025-04-18","Counterparty":"Angel","Description":"Payroll","Amount":"$1700.40","Category":"Payroll","Frequency":"bi-weekly","Payment schedule_0":"2025-11-14"},{"First payment date":"2025-04-18","Counterparty":"Angel","Description":"Payroll","Amount":"$1700.40","Category":"Payroll","Frequency":"bi-weekly","Payment schedule_0":"2025-11-28"},{"First payment date":"2025-04-18","Counterparty":"Angel","Description":"Payroll","Amount":"$1700.40","Category":"Payroll","Frequency":"bi-weekly","Payment schedule_0":"2025-12-12"}]</t>
  </si>
  <si>
    <t>Allyson</t>
  </si>
  <si>
    <t>[{"First payment date":"2025-04-18","Counterparty":"Allyson","Description":"Payroll","Amount":"$2829.64","Category":"Payroll","Frequency":"bi-weekly","Payment schedule_0":"2025-06-27"},{"First payment date":"2025-04-18","Counterparty":"Allyson","Description":"Payroll","Amount":"$2829.64","Category":"Payroll","Frequency":"bi-weekly","Payment schedule_0":"2025-07-11"},{"First payment date":"2025-04-18","Counterparty":"Allyson","Description":"Payroll","Amount":"$2829.64","Category":"Payroll","Frequency":"bi-weekly","Payment schedule_0":"2025-07-25"},{"First payment date":"2025-04-18","Counterparty":"Allyson","Description":"Payroll","Amount":"$2829.64","Category":"Payroll","Frequency":"bi-weekly","Payment schedule_0":"2025-08-08"},{"First payment date":"2025-04-18","Counterparty":"Allyson","Description":"Payroll","Amount":"$2829.64","Category":"Payroll","Frequency":"bi-weekly","Payment schedule_0":"2025-08-22"},{"First payment date":"2025-04-18","Counterparty":"Allyson","Description":"Payroll","Amount":"$2829.64","Category":"Payroll","Frequency":"bi-weekly","Payment schedule_0":"2025-09-05"},{"First payment date":"2025-04-18","Counterparty":"Allyson","Description":"Payroll","Amount":"$2829.64","Category":"Payroll","Frequency":"bi-weekly","Payment schedule_0":"2025-09-19"},{"First payment date":"2025-04-18","Counterparty":"Allyson","Description":"Payroll","Amount":"$2829.64","Category":"Payroll","Frequency":"bi-weekly","Payment schedule_0":"2025-10-03"},{"First payment date":"2025-04-18","Counterparty":"Allyson","Description":"Payroll","Amount":"$2829.64","Category":"Payroll","Frequency":"bi-weekly","Payment schedule_0":"2025-10-17"},{"First payment date":"2025-04-18","Counterparty":"Allyson","Description":"Payroll","Amount":"$2829.64","Category":"Payroll","Frequency":"bi-weekly","Payment schedule_0":"2025-10-31"},{"First payment date":"2025-04-18","Counterparty":"Allyson","Description":"Payroll","Amount":"$2829.64","Category":"Payroll","Frequency":"bi-weekly","Payment schedule_0":"2025-11-14"},{"First payment date":"2025-04-18","Counterparty":"Allyson","Description":"Payroll","Amount":"$2829.64","Category":"Payroll","Frequency":"bi-weekly","Payment schedule_0":"2025-11-28"},{"First payment date":"2025-04-18","Counterparty":"Allyson","Description":"Payroll","Amount":"$2829.64","Category":"Payroll","Frequency":"bi-weekly","Payment schedule_0":"2025-12-12"}]</t>
  </si>
  <si>
    <t>Eduardo</t>
  </si>
  <si>
    <t>[{"First payment date":"2025-04-18","Counterparty":"Eduardo","Description":"Payroll","Amount":"$1700.40","Category":"Payroll","Frequency":"bi-weekly","Payment schedule_0":"2025-06-27"},{"First payment date":"2025-04-18","Counterparty":"Eduardo","Description":"Payroll","Amount":"$1700.40","Category":"Payroll","Frequency":"bi-weekly","Payment schedule_0":"2025-07-11"},{"First payment date":"2025-04-18","Counterparty":"Eduardo","Description":"Payroll","Amount":"$1700.40","Category":"Payroll","Frequency":"bi-weekly","Payment schedule_0":"2025-07-25"},{"First payment date":"2025-04-18","Counterparty":"Eduardo","Description":"Payroll","Amount":"$1700.40","Category":"Payroll","Frequency":"bi-weekly","Payment schedule_0":"2025-08-08"},{"First payment date":"2025-04-18","Counterparty":"Eduardo","Description":"Payroll","Amount":"$1700.40","Category":"Payroll","Frequency":"bi-weekly","Payment schedule_0":"2025-08-22"},{"First payment date":"2025-04-18","Counterparty":"Eduardo","Description":"Payroll","Amount":"$1700.40","Category":"Payroll","Frequency":"bi-weekly","Payment schedule_0":"2025-09-05"},{"First payment date":"2025-04-18","Counterparty":"Eduardo","Description":"Payroll","Amount":"$1700.40","Category":"Payroll","Frequency":"bi-weekly","Payment schedule_0":"2025-09-19"},{"First payment date":"2025-04-18","Counterparty":"Eduardo","Description":"Payroll","Amount":"$1700.40","Category":"Payroll","Frequency":"bi-weekly","Payment schedule_0":"2025-10-03"},{"First payment date":"2025-04-18","Counterparty":"Eduardo","Description":"Payroll","Amount":"$1700.40","Category":"Payroll","Frequency":"bi-weekly","Payment schedule_0":"2025-10-17"},{"First payment date":"2025-04-18","Counterparty":"Eduardo","Description":"Payroll","Amount":"$1700.40","Category":"Payroll","Frequency":"bi-weekly","Payment schedule_0":"2025-10-31"},{"First payment date":"2025-04-18","Counterparty":"Eduardo","Description":"Payroll","Amount":"$1700.40","Category":"Payroll","Frequency":"bi-weekly","Payment schedule_0":"2025-11-14"},{"First payment date":"2025-04-18","Counterparty":"Eduardo","Description":"Payroll","Amount":"$1700.40","Category":"Payroll","Frequency":"bi-weekly","Payment schedule_0":"2025-11-28"},{"First payment date":"2025-04-18","Counterparty":"Eduardo","Description":"Payroll","Amount":"$1700.40","Category":"Payroll","Frequency":"bi-weekly","Payment schedule_0":"2025-12-12"}]</t>
  </si>
  <si>
    <t>Michael</t>
  </si>
  <si>
    <t>[{"First payment date":"2025-04-18","Counterparty":"Michael","Description":"Payroll","Amount":"$2829.64","Category":"Payroll","Frequency":"bi-weekly","Payment schedule_0":"2025-06-27"},{"First payment date":"2025-04-18","Counterparty":"Michael","Description":"Payroll","Amount":"$2829.64","Category":"Payroll","Frequency":"bi-weekly","Payment schedule_0":"2025-07-11"},{"First payment date":"2025-04-18","Counterparty":"Michael","Description":"Payroll","Amount":"$2829.64","Category":"Payroll","Frequency":"bi-weekly","Payment schedule_0":"2025-07-25"},{"First payment date":"2025-04-18","Counterparty":"Michael","Description":"Payroll","Amount":"$2829.64","Category":"Payroll","Frequency":"bi-weekly","Payment schedule_0":"2025-08-08"},{"First payment date":"2025-04-18","Counterparty":"Michael","Description":"Payroll","Amount":"$2829.64","Category":"Payroll","Frequency":"bi-weekly","Payment schedule_0":"2025-08-22"},{"First payment date":"2025-04-18","Counterparty":"Michael","Description":"Payroll","Amount":"$2829.64","Category":"Payroll","Frequency":"bi-weekly","Payment schedule_0":"2025-09-05"},{"First payment date":"2025-04-18","Counterparty":"Michael","Description":"Payroll","Amount":"$2829.64","Category":"Payroll","Frequency":"bi-weekly","Payment schedule_0":"2025-09-19"},{"First payment date":"2025-04-18","Counterparty":"Michael","Description":"Payroll","Amount":"$2829.64","Category":"Payroll","Frequency":"bi-weekly","Payment schedule_0":"2025-10-03"},{"First payment date":"2025-04-18","Counterparty":"Michael","Description":"Payroll","Amount":"$2829.64","Category":"Payroll","Frequency":"bi-weekly","Payment schedule_0":"2025-10-17"},{"First payment date":"2025-04-18","Counterparty":"Michael","Description":"Payroll","Amount":"$2829.64","Category":"Payroll","Frequency":"bi-weekly","Payment schedule_0":"2025-10-31"},{"First payment date":"2025-04-18","Counterparty":"Michael","Description":"Payroll","Amount":"$2829.64","Category":"Payroll","Frequency":"bi-weekly","Payment schedule_0":"2025-11-14"},{"First payment date":"2025-04-18","Counterparty":"Michael","Description":"Payroll","Amount":"$2829.64","Category":"Payroll","Frequency":"bi-weekly","Payment schedule_0":"2025-11-28"},{"First payment date":"2025-04-18","Counterparty":"Michael","Description":"Payroll","Amount":"$2829.64","Category":"Payroll","Frequency":"bi-weekly","Payment schedule_0":"2025-12-12"}]</t>
  </si>
  <si>
    <t>Ruben</t>
  </si>
  <si>
    <t>[{"First payment date":"2025-04-18","Counterparty":"Ruben","Description":"Payroll","Amount":"$2267.20","Category":"Payroll","Frequency":"bi-weekly","Payment schedule_0":"2025-06-27"},{"First payment date":"2025-04-18","Counterparty":"Ruben","Description":"Payroll","Amount":"$2267.20","Category":"Payroll","Frequency":"bi-weekly","Payment schedule_0":"2025-07-11"},{"First payment date":"2025-04-18","Counterparty":"Ruben","Description":"Payroll","Amount":"$2267.20","Category":"Payroll","Frequency":"bi-weekly","Payment schedule_0":"2025-07-25"},{"First payment date":"2025-04-18","Counterparty":"Ruben","Description":"Payroll","Amount":"$2267.20","Category":"Payroll","Frequency":"bi-weekly","Payment schedule_0":"2025-08-08"},{"First payment date":"2025-04-18","Counterparty":"Ruben","Description":"Payroll","Amount":"$2267.20","Category":"Payroll","Frequency":"bi-weekly","Payment schedule_0":"2025-08-22"},{"First payment date":"2025-04-18","Counterparty":"Ruben","Description":"Payroll","Amount":"$2267.20","Category":"Payroll","Frequency":"bi-weekly","Payment schedule_0":"2025-09-05"},{"First payment date":"2025-04-18","Counterparty":"Ruben","Description":"Payroll","Amount":"$2267.20","Category":"Payroll","Frequency":"bi-weekly","Payment schedule_0":"2025-09-19"},{"First payment date":"2025-04-18","Counterparty":"Ruben","Description":"Payroll","Amount":"$2267.20","Category":"Payroll","Frequency":"bi-weekly","Payment schedule_0":"2025-10-03"},{"First payment date":"2025-04-18","Counterparty":"Ruben","Description":"Payroll","Amount":"$2267.20","Category":"Payroll","Frequency":"bi-weekly","Payment schedule_0":"2025-10-17"},{"First payment date":"2025-04-18","Counterparty":"Ruben","Description":"Payroll","Amount":"$2267.20","Category":"Payroll","Frequency":"bi-weekly","Payment schedule_0":"2025-10-31"},{"First payment date":"2025-04-18","Counterparty":"Ruben","Description":"Payroll","Amount":"$2267.20","Category":"Payroll","Frequency":"bi-weekly","Payment schedule_0":"2025-11-14"},{"First payment date":"2025-04-18","Counterparty":"Ruben","Description":"Payroll","Amount":"$2267.20","Category":"Payroll","Frequency":"bi-weekly","Payment schedule_0":"2025-11-28"},{"First payment date":"2025-04-18","Counterparty":"Ruben","Description":"Payroll","Amount":"$2267.20","Category":"Payroll","Frequency":"bi-weekly","Payment schedule_0":"2025-12-12"}]</t>
  </si>
  <si>
    <t>Lisa</t>
  </si>
  <si>
    <t>[{"First payment date":"2025-04-18","Counterparty":"Lisa","Description":"Payroll","Amount":"$2515.72","Category":"Payroll","Frequency":"bi-weekly","Payment schedule_0":"2025-06-27"},{"First payment date":"2025-04-18","Counterparty":"Lisa","Description":"Payroll","Amount":"$2515.72","Category":"Payroll","Frequency":"bi-weekly","Payment schedule_0":"2025-07-11"},{"First payment date":"2025-04-18","Counterparty":"Lisa","Description":"Payroll","Amount":"$2515.72","Category":"Payroll","Frequency":"bi-weekly","Payment schedule_0":"2025-07-25"},{"First payment date":"2025-04-18","Counterparty":"Lisa","Description":"Payroll","Amount":"$2515.72","Category":"Payroll","Frequency":"bi-weekly","Payment schedule_0":"2025-08-08"},{"First payment date":"2025-04-18","Counterparty":"Lisa","Description":"Payroll","Amount":"$2515.72","Category":"Payroll","Frequency":"bi-weekly","Payment schedule_0":"2025-08-22"},{"First payment date":"2025-04-18","Counterparty":"Lisa","Description":"Payroll","Amount":"$2515.72","Category":"Payroll","Frequency":"bi-weekly","Payment schedule_0":"2025-09-05"},{"First payment date":"2025-04-18","Counterparty":"Lisa","Description":"Payroll","Amount":"$2515.72","Category":"Payroll","Frequency":"bi-weekly","Payment schedule_0":"2025-09-19"},{"First payment date":"2025-04-18","Counterparty":"Lisa","Description":"Payroll","Amount":"$2515.72","Category":"Payroll","Frequency":"bi-weekly","Payment schedule_0":"2025-10-03"},{"First payment date":"2025-04-18","Counterparty":"Lisa","Description":"Payroll","Amount":"$2515.72","Category":"Payroll","Frequency":"bi-weekly","Payment schedule_0":"2025-10-17"},{"First payment date":"2025-04-18","Counterparty":"Lisa","Description":"Payroll","Amount":"$2515.72","Category":"Payroll","Frequency":"bi-weekly","Payment schedule_0":"2025-10-31"},{"First payment date":"2025-04-18","Counterparty":"Lisa","Description":"Payroll","Amount":"$2515.72","Category":"Payroll","Frequency":"bi-weekly","Payment schedule_0":"2025-11-14"},{"First payment date":"2025-04-18","Counterparty":"Lisa","Description":"Payroll","Amount":"$2515.72","Category":"Payroll","Frequency":"bi-weekly","Payment schedule_0":"2025-11-28"},{"First payment date":"2025-04-18","Counterparty":"Lisa","Description":"Payroll","Amount":"$2515.72","Category":"Payroll","Frequency":"bi-weekly","Payment schedule_0":"2025-12-12"}]</t>
  </si>
  <si>
    <t>Randall</t>
  </si>
  <si>
    <t>[{"First payment date":"2025-04-18","Counterparty":"Randall","Description":"Payroll","Amount":"$2515.72","Category":"Payroll","Frequency":"bi-weekly","Payment schedule_0":"2025-06-27"},{"First payment date":"2025-04-18","Counterparty":"Randall","Description":"Payroll","Amount":"$2515.72","Category":"Payroll","Frequency":"bi-weekly","Payment schedule_0":"2025-07-11"},{"First payment date":"2025-04-18","Counterparty":"Randall","Description":"Payroll","Amount":"$2515.72","Category":"Payroll","Frequency":"bi-weekly","Payment schedule_0":"2025-07-25"},{"First payment date":"2025-04-18","Counterparty":"Randall","Description":"Payroll","Amount":"$2515.72","Category":"Payroll","Frequency":"bi-weekly","Payment schedule_0":"2025-08-08"},{"First payment date":"2025-04-18","Counterparty":"Randall","Description":"Payroll","Amount":"$2515.72","Category":"Payroll","Frequency":"bi-weekly","Payment schedule_0":"2025-08-22"},{"First payment date":"2025-04-18","Counterparty":"Randall","Description":"Payroll","Amount":"$2515.72","Category":"Payroll","Frequency":"bi-weekly","Payment schedule_0":"2025-09-05"},{"First payment date":"2025-04-18","Counterparty":"Randall","Description":"Payroll","Amount":"$2515.72","Category":"Payroll","Frequency":"bi-weekly","Payment schedule_0":"2025-09-19"},{"First payment date":"2025-04-18","Counterparty":"Randall","Description":"Payroll","Amount":"$2515.72","Category":"Payroll","Frequency":"bi-weekly","Payment schedule_0":"2025-10-03"},{"First payment date":"2025-04-18","Counterparty":"Randall","Description":"Payroll","Amount":"$2515.72","Category":"Payroll","Frequency":"bi-weekly","Payment schedule_0":"2025-10-17"},{"First payment date":"2025-04-18","Counterparty":"Randall","Description":"Payroll","Amount":"$2515.72","Category":"Payroll","Frequency":"bi-weekly","Payment schedule_0":"2025-10-31"},{"First payment date":"2025-04-18","Counterparty":"Randall","Description":"Payroll","Amount":"$2515.72","Category":"Payroll","Frequency":"bi-weekly","Payment schedule_0":"2025-11-14"},{"First payment date":"2025-04-18","Counterparty":"Randall","Description":"Payroll","Amount":"$2515.72","Category":"Payroll","Frequency":"bi-weekly","Payment schedule_0":"2025-11-28"},{"First payment date":"2025-04-18","Counterparty":"Randall","Description":"Payroll","Amount":"$2515.72","Category":"Payroll","Frequency":"bi-weekly","Payment schedule_0":"2025-12-12"}]</t>
  </si>
  <si>
    <t>Katarzyna</t>
  </si>
  <si>
    <t>[{"First payment date":"2025-04-18","Counterparty":"Katarzyna","Description":"Payroll","Amount":"$5240.72","Category":"Payroll","Frequency":"bi-weekly","Payment schedule_0":"2025-06-27"},{"First payment date":"2025-04-18","Counterparty":"Katarzyna","Description":"Payroll","Amount":"$5240.72","Category":"Payroll","Frequency":"bi-weekly","Payment schedule_0":"2025-07-11"},{"First payment date":"2025-04-18","Counterparty":"Katarzyna","Description":"Payroll","Amount":"$5240.72","Category":"Payroll","Frequency":"bi-weekly","Payment schedule_0":"2025-07-25"},{"First payment date":"2025-04-18","Counterparty":"Katarzyna","Description":"Payroll","Amount":"$5240.72","Category":"Payroll","Frequency":"bi-weekly","Payment schedule_0":"2025-08-08"},{"First payment date":"2025-04-18","Counterparty":"Katarzyna","Description":"Payroll","Amount":"$5240.72","Category":"Payroll","Frequency":"bi-weekly","Payment schedule_0":"2025-08-22"},{"First payment date":"2025-04-18","Counterparty":"Katarzyna","Description":"Payroll","Amount":"$5240.72","Category":"Payroll","Frequency":"bi-weekly","Payment schedule_0":"2025-09-05"},{"First payment date":"2025-04-18","Counterparty":"Katarzyna","Description":"Payroll","Amount":"$5240.72","Category":"Payroll","Frequency":"bi-weekly","Payment schedule_0":"2025-09-19"},{"First payment date":"2025-04-18","Counterparty":"Katarzyna","Description":"Payroll","Amount":"$5240.72","Category":"Payroll","Frequency":"bi-weekly","Payment schedule_0":"2025-10-03"},{"First payment date":"2025-04-18","Counterparty":"Katarzyna","Description":"Payroll","Amount":"$5240.72","Category":"Payroll","Frequency":"bi-weekly","Payment schedule_0":"2025-10-17"},{"First payment date":"2025-04-18","Counterparty":"Katarzyna","Description":"Payroll","Amount":"$5240.72","Category":"Payroll","Frequency":"bi-weekly","Payment schedule_0":"2025-10-31"},{"First payment date":"2025-04-18","Counterparty":"Katarzyna","Description":"Payroll","Amount":"$5240.72","Category":"Payroll","Frequency":"bi-weekly","Payment schedule_0":"2025-11-14"},{"First payment date":"2025-04-18","Counterparty":"Katarzyna","Description":"Payroll","Amount":"$5240.72","Category":"Payroll","Frequency":"bi-weekly","Payment schedule_0":"2025-11-28"},{"First payment date":"2025-04-18","Counterparty":"Katarzyna","Description":"Payroll","Amount":"$5240.72","Category":"Payroll","Frequency":"bi-weekly","Payment schedule_0":"2025-12-12"}]</t>
  </si>
  <si>
    <t>Debtor name</t>
  </si>
  <si>
    <t>Due date</t>
  </si>
  <si>
    <t>Creditor name</t>
  </si>
  <si>
    <t>Week</t>
  </si>
  <si>
    <t>Opening balance</t>
  </si>
  <si>
    <t>COGS Expenditures</t>
  </si>
  <si>
    <t>Inventory</t>
  </si>
  <si>
    <t>Cash flow from Operations</t>
  </si>
  <si>
    <t>Cash flow from Investing</t>
  </si>
  <si>
    <t>Cash flow from Financing</t>
  </si>
  <si>
    <t>Total Cash Flow</t>
  </si>
  <si>
    <t>Closing balance</t>
  </si>
  <si>
    <t>Week staring date</t>
  </si>
  <si>
    <t>Forecast</t>
  </si>
  <si>
    <t>Actuals</t>
  </si>
  <si>
    <t>Delta</t>
  </si>
  <si>
    <t>Cash from Customers</t>
  </si>
  <si>
    <t>Other Cash from Operations</t>
  </si>
  <si>
    <t>Account</t>
  </si>
  <si>
    <t>Type</t>
  </si>
  <si>
    <t>Balance</t>
  </si>
  <si>
    <t>Limit</t>
  </si>
  <si>
    <t>Available</t>
  </si>
  <si>
    <t>Due</t>
  </si>
  <si>
    <t>Bank</t>
  </si>
  <si>
    <t>VoChill</t>
  </si>
  <si>
    <t>Southwest</t>
  </si>
  <si>
    <t>Line of Credit</t>
  </si>
  <si>
    <t>Payment Schedule 0</t>
  </si>
</sst>
</file>

<file path=xl/styles.xml><?xml version="1.0" encoding="utf-8"?>
<styleSheet xmlns="http://schemas.openxmlformats.org/spreadsheetml/2006/main">
  <numFmts count="4">
    <numFmt numFmtId="164" formatCode="mm&quot;/&quot;dd&quot;/&quot;yyyy"/>
    <numFmt numFmtId="165" formatCode="yyyy&quot;-&quot;mm&quot;-&quot;dd"/>
    <numFmt numFmtId="166" formatCode="[$$-409]#,##0.00;[$$-409]-#,##0.00"/>
    <numFmt numFmtId="167" formatCode="[$$-409]#,##0;[$$-409]-#,##0"/>
  </numFmts>
  <fonts count="1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color rgb="FF1A1A1A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color rgb="FF1A1A1A"/>
    </font>
    <font>
      <name val="Calibri"/>
      <sz val="11.0"/>
      <color rgb="FF1A1A1A"/>
    </font>
    <font>
      <name val="Calibri"/>
      <sz val="11.0"/>
      <color rgb="FF1A1A1A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true" applyAlignment="true">
      <alignment vertical="top"/>
    </xf>
    <xf numFmtId="1" fontId="1" fillId="0" borderId="0" xfId="0" applyFont="true" applyNumberFormat="true" applyAlignment="true">
      <alignment vertical="top"/>
    </xf>
    <xf numFmtId="164" fontId="1" fillId="0" borderId="0" xfId="0" applyFont="true" applyNumberFormat="true" applyAlignment="true">
      <alignment vertical="top"/>
    </xf>
    <xf numFmtId="0" fontId="1" fillId="0" borderId="0" xfId="0" applyFont="true" applyAlignment="true">
      <alignment wrapText="true" vertical="top"/>
    </xf>
    <xf numFmtId="165" fontId="2" fillId="0" borderId="0" xfId="0" applyFont="true" applyNumberFormat="true" applyAlignment="true">
      <alignment vertical="top"/>
    </xf>
    <xf numFmtId="1" fontId="3" fillId="0" borderId="0" xfId="0" applyFont="true" applyNumberFormat="true" applyAlignment="true">
      <alignment horizontal="left" vertical="top"/>
    </xf>
    <xf numFmtId="0" fontId="3" fillId="0" borderId="0" xfId="0" applyFont="true" applyAlignment="true">
      <alignment horizontal="left" vertical="top"/>
    </xf>
    <xf numFmtId="1" fontId="3" fillId="0" borderId="0" xfId="0" applyFont="true" applyNumberFormat="true" applyAlignment="true">
      <alignment horizontal="left" vertical="top"/>
    </xf>
    <xf numFmtId="0" fontId="3" fillId="0" borderId="0" xfId="0" applyFont="true" applyAlignment="true">
      <alignment horizontal="left" vertical="top"/>
    </xf>
    <xf numFmtId="4" fontId="3" fillId="0" borderId="0" xfId="0" applyFont="true" applyNumberFormat="true" applyAlignment="true">
      <alignment horizontal="left" vertical="top"/>
    </xf>
    <xf numFmtId="4" fontId="1" fillId="0" borderId="0" xfId="0" applyFont="true" applyNumberFormat="true" applyAlignment="true">
      <alignment vertical="top"/>
    </xf>
    <xf numFmtId="4" fontId="3" fillId="0" borderId="0" xfId="0" applyFont="true" applyNumberFormat="true" applyAlignment="true">
      <alignment horizontal="left" vertical="top"/>
    </xf>
    <xf numFmtId="0" fontId="4" fillId="0" borderId="0" xfId="0" applyFont="true" applyAlignment="true">
      <alignment vertical="top"/>
    </xf>
    <xf numFmtId="0" fontId="5" fillId="3" borderId="0" xfId="0" applyFont="true" applyFill="true" applyAlignment="true">
      <alignment vertical="top"/>
    </xf>
    <xf numFmtId="0" fontId="6" fillId="0" borderId="0" xfId="0" applyFont="true" applyAlignment="true">
      <alignment vertical="top"/>
    </xf>
    <xf numFmtId="165" fontId="1" fillId="0" borderId="0" xfId="0" applyFont="true" applyNumberFormat="true" applyAlignment="true">
      <alignment vertical="top"/>
    </xf>
    <xf numFmtId="166" fontId="1" fillId="0" borderId="0" xfId="0" applyFont="true" applyNumberFormat="true" applyAlignment="true">
      <alignment vertical="top"/>
    </xf>
    <xf numFmtId="165" fontId="7" fillId="0" borderId="0" xfId="0" applyFont="true" applyNumberFormat="true" applyAlignment="true">
      <alignment vertical="top"/>
    </xf>
    <xf numFmtId="0" fontId="7" fillId="0" borderId="0" xfId="0" applyFont="true" applyAlignment="true">
      <alignment vertical="top"/>
    </xf>
    <xf numFmtId="166" fontId="7" fillId="0" borderId="0" xfId="0" applyFont="true" applyNumberFormat="true" applyAlignment="true">
      <alignment vertical="top"/>
    </xf>
    <xf numFmtId="0" fontId="4" fillId="0" borderId="0" xfId="0" applyFont="true" applyAlignment="true">
      <alignment vertical="top"/>
    </xf>
    <xf numFmtId="0" fontId="1" fillId="0" borderId="0" xfId="0" applyFont="true" applyAlignment="true">
      <alignment vertical="top"/>
    </xf>
    <xf numFmtId="4" fontId="2" fillId="0" borderId="0" xfId="0" applyFont="true" applyNumberFormat="true" applyAlignment="true">
      <alignment horizontal="left" vertical="top"/>
    </xf>
    <xf numFmtId="165" fontId="2" fillId="0" borderId="0" xfId="0" applyFont="true" applyNumberFormat="true" applyAlignment="true">
      <alignment horizontal="left" vertical="top"/>
    </xf>
    <xf numFmtId="3" fontId="1" fillId="0" borderId="0" xfId="0" applyFont="true" applyNumberFormat="true" applyAlignment="true">
      <alignment vertical="top"/>
    </xf>
    <xf numFmtId="4" fontId="2" fillId="0" borderId="0" xfId="0" applyFont="true" applyNumberFormat="true" applyAlignment="true">
      <alignment horizontal="left" vertical="top"/>
    </xf>
    <xf numFmtId="165" fontId="2" fillId="0" borderId="0" xfId="0" applyFont="true" applyNumberFormat="true" applyAlignment="true">
      <alignment horizontal="left" vertical="top"/>
    </xf>
    <xf numFmtId="1" fontId="2" fillId="0" borderId="0" xfId="0" applyFont="true" applyNumberFormat="true" applyAlignment="true">
      <alignment horizontal="left" vertical="top"/>
    </xf>
    <xf numFmtId="1" fontId="1" fillId="0" borderId="0" xfId="0" applyFont="true" applyNumberFormat="true" applyAlignment="true">
      <alignment vertical="top"/>
    </xf>
    <xf numFmtId="1" fontId="2" fillId="0" borderId="0" xfId="0" applyFont="true" applyNumberFormat="true" applyAlignment="true">
      <alignment horizontal="left" vertical="top"/>
    </xf>
    <xf numFmtId="1" fontId="7" fillId="0" borderId="0" xfId="0" applyFont="true" applyNumberFormat="true" applyAlignment="true">
      <alignment vertical="top"/>
    </xf>
    <xf numFmtId="0" fontId="5" fillId="4" borderId="0" xfId="0" applyFont="true" applyFill="true" applyAlignment="true">
      <alignment vertical="top"/>
    </xf>
    <xf numFmtId="165" fontId="5" fillId="4" borderId="0" xfId="0" applyFont="true" applyNumberFormat="true" applyFill="true" applyAlignment="true">
      <alignment vertical="top"/>
    </xf>
    <xf numFmtId="0" fontId="6" fillId="0" borderId="0" xfId="0" applyFont="true" applyAlignment="true">
      <alignment vertical="top"/>
    </xf>
    <xf numFmtId="3" fontId="6" fillId="0" borderId="0" xfId="0" applyFont="true" applyNumberFormat="true" applyAlignment="true">
      <alignment vertical="top"/>
    </xf>
    <xf numFmtId="0" fontId="8" fillId="0" borderId="0" xfId="0" applyFont="true" applyAlignment="true">
      <alignment vertical="top"/>
    </xf>
    <xf numFmtId="0" fontId="7" fillId="0" borderId="0" xfId="0" applyFont="true" applyAlignment="true">
      <alignment vertical="top"/>
    </xf>
    <xf numFmtId="3" fontId="7" fillId="0" borderId="0" xfId="0" applyFont="true" applyNumberFormat="true" applyAlignment="true">
      <alignment vertical="top"/>
    </xf>
    <xf numFmtId="167" fontId="9" fillId="3" borderId="0" xfId="0" applyFont="true" applyNumberFormat="true" applyFill="true" applyAlignment="true">
      <alignment vertical="top"/>
    </xf>
    <xf numFmtId="167" fontId="4" fillId="0" borderId="0" xfId="0" applyFont="true" applyNumberFormat="true" applyAlignment="true">
      <alignment vertical="top"/>
    </xf>
    <xf numFmtId="167" fontId="10" fillId="3" borderId="0" xfId="0" applyFont="true" applyNumberFormat="true" applyFill="true" applyAlignment="true">
      <alignment vertical="top"/>
    </xf>
    <xf numFmtId="0" fontId="10" fillId="3" borderId="0" xfId="0" applyFont="true" applyFill="true" applyAlignment="true">
      <alignment vertical="top"/>
    </xf>
    <xf numFmtId="167" fontId="11" fillId="3" borderId="0" xfId="0" applyFont="true" applyNumberFormat="true" applyFill="true" applyAlignment="true">
      <alignment vertical="top"/>
    </xf>
    <xf numFmtId="0" fontId="8" fillId="0" borderId="0" xfId="0" applyFont="true" applyAlignment="true">
      <alignment vertical="top"/>
    </xf>
    <xf numFmtId="0" fontId="11" fillId="3" borderId="0" xfId="0" applyFont="true" applyFill="true" applyAlignment="true">
      <alignment vertical="top"/>
    </xf>
    <xf numFmtId="165" fontId="9" fillId="4" borderId="0" xfId="0" applyFont="true" applyNumberFormat="true" applyFill="true" applyAlignment="true">
      <alignment vertical="top"/>
    </xf>
    <xf numFmtId="0" fontId="9" fillId="4" borderId="0" xfId="0" applyFont="true" applyFill="true" applyAlignment="true">
      <alignment vertical="top"/>
    </xf>
    <xf numFmtId="167" fontId="1" fillId="0" borderId="0" xfId="0" applyFont="true" applyNumberFormat="true" applyAlignmen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1">
        <v>0</v>
      </c>
      <c r="B1" t="n" s="2">
        <v>6.0</v>
      </c>
      <c r="C1" t="n" s="3">
        <v>45808.0</v>
      </c>
    </row>
    <row r="2">
      <c r="B2" s="1"/>
      <c r="C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8"/>
  <sheetViews>
    <sheetView workbookViewId="0"/>
  </sheetViews>
  <sheetFormatPr defaultRowHeight="15.0"/>
  <cols>
    <col min="4" max="4" width="44.1328125" customWidth="true"/>
    <col min="5" max="5" width="48.2734375" customWidth="true"/>
    <col min="1" max="1" width="26.28125" customWidth="true"/>
    <col min="6" max="6" width="48.2734375" customWidth="true"/>
    <col min="7" max="7" width="48.2734375" customWidth="true"/>
  </cols>
  <sheetData>
    <row r="1" ht="0.75" customHeight="true">
      <c r="A1" t="s" s="4">
        <v>1</v>
      </c>
      <c r="B1" t="s" s="4">
        <v>2</v>
      </c>
      <c r="C1" t="s" s="4">
        <v>3</v>
      </c>
      <c r="D1" t="s" s="4">
        <v>4</v>
      </c>
      <c r="E1" t="s" s="4">
        <v>5</v>
      </c>
      <c r="F1" t="s" s="4">
        <v>6</v>
      </c>
      <c r="G1" t="s" s="4">
        <v>7</v>
      </c>
    </row>
    <row r="2">
      <c r="B2" t="n" s="5">
        <v>45833.0</v>
      </c>
      <c r="C2" t="n" s="6">
        <v>27.5</v>
      </c>
      <c r="D2" s="7"/>
      <c r="E2" t="s" s="1">
        <v>8</v>
      </c>
      <c r="F2" t="s" s="7">
        <v>9</v>
      </c>
      <c r="G2" t="n" s="2">
        <f>C2*-1</f>
        <v>-27.5</v>
      </c>
    </row>
    <row r="3">
      <c r="B3" t="n" s="5">
        <v>45833.0</v>
      </c>
      <c r="C3" t="n" s="8">
        <v>-179.62</v>
      </c>
      <c r="D3" s="9"/>
      <c r="E3" t="s" s="1">
        <v>10</v>
      </c>
      <c r="F3" t="s" s="9">
        <v>11</v>
      </c>
      <c r="G3" t="n" s="2">
        <f>C3*-1</f>
        <v>179.62</v>
      </c>
    </row>
    <row r="4">
      <c r="B4" t="n" s="5">
        <v>45833.0</v>
      </c>
      <c r="C4" t="n" s="6">
        <v>-55.34</v>
      </c>
      <c r="D4" s="7"/>
      <c r="E4" t="s" s="1">
        <v>10</v>
      </c>
      <c r="F4" t="s" s="7">
        <v>12</v>
      </c>
      <c r="G4" t="n" s="2">
        <f>C4*-1</f>
        <v>55.34</v>
      </c>
    </row>
    <row r="5">
      <c r="B5" t="n" s="5">
        <v>45833.0</v>
      </c>
      <c r="C5" t="n" s="8">
        <v>-592.64</v>
      </c>
      <c r="D5" s="9"/>
      <c r="E5" t="s" s="1">
        <v>10</v>
      </c>
      <c r="F5" t="s" s="9">
        <v>13</v>
      </c>
      <c r="G5" t="n" s="2">
        <f>C5*-1</f>
        <v>592.64</v>
      </c>
    </row>
    <row r="6">
      <c r="B6" t="n" s="5">
        <v>45833.0</v>
      </c>
      <c r="C6" t="n" s="6">
        <v>-110.68</v>
      </c>
      <c r="D6" s="7"/>
      <c r="E6" t="s" s="1">
        <v>10</v>
      </c>
      <c r="F6" t="s" s="7">
        <v>14</v>
      </c>
      <c r="G6" t="n" s="2">
        <f>C6*-1</f>
        <v>110.68</v>
      </c>
    </row>
    <row r="7">
      <c r="B7" t="n" s="5">
        <v>45832.0</v>
      </c>
      <c r="C7" t="n" s="8">
        <v>0.01</v>
      </c>
      <c r="D7" s="9"/>
      <c r="E7" t="s" s="1">
        <v>15</v>
      </c>
      <c r="F7" t="s" s="9">
        <v>16</v>
      </c>
      <c r="G7" t="n" s="2">
        <f>C7*-1</f>
        <v>-0.01</v>
      </c>
    </row>
    <row r="8">
      <c r="B8" t="n" s="5">
        <v>45832.0</v>
      </c>
      <c r="C8" t="n" s="6">
        <v>-340.0</v>
      </c>
      <c r="D8" s="7"/>
      <c r="E8" t="s" s="1">
        <v>10</v>
      </c>
      <c r="F8" t="s" s="7">
        <v>11</v>
      </c>
      <c r="G8" t="n" s="2">
        <f>C8*-1</f>
        <v>340.0</v>
      </c>
    </row>
    <row r="9">
      <c r="B9" t="n" s="5">
        <v>45832.0</v>
      </c>
      <c r="C9" t="n" s="10">
        <v>-3521.59</v>
      </c>
      <c r="D9" s="9"/>
      <c r="E9" t="s" s="1">
        <v>10</v>
      </c>
      <c r="F9" t="s" s="9">
        <v>17</v>
      </c>
      <c r="G9" t="n" s="11">
        <f>C9*-1</f>
        <v>3521.59</v>
      </c>
    </row>
    <row r="10">
      <c r="B10" t="n" s="5">
        <v>45831.0</v>
      </c>
      <c r="C10" t="n" s="6">
        <v>250.51</v>
      </c>
      <c r="D10" s="7"/>
      <c r="E10" t="s" s="1">
        <v>8</v>
      </c>
      <c r="F10" t="s" s="7">
        <v>18</v>
      </c>
      <c r="G10" t="n" s="2">
        <f>C10*-1</f>
        <v>-250.51</v>
      </c>
    </row>
    <row r="11">
      <c r="B11" t="n" s="5">
        <v>45831.0</v>
      </c>
      <c r="C11" t="n" s="8">
        <v>-55.05</v>
      </c>
      <c r="D11" s="9"/>
      <c r="E11" t="s" s="1">
        <v>10</v>
      </c>
      <c r="F11" t="s" s="9">
        <v>11</v>
      </c>
      <c r="G11" t="n" s="2">
        <f>C11*-1</f>
        <v>55.05</v>
      </c>
    </row>
    <row r="12">
      <c r="B12" t="n" s="5">
        <v>45831.0</v>
      </c>
      <c r="C12" t="n" s="12">
        <v>-2271.5</v>
      </c>
      <c r="D12" s="7"/>
      <c r="E12" t="s" s="1">
        <v>10</v>
      </c>
      <c r="F12" t="s" s="7">
        <v>19</v>
      </c>
      <c r="G12" t="n" s="11">
        <f>C12*-1</f>
        <v>2271.5</v>
      </c>
    </row>
    <row r="13">
      <c r="B13" t="n" s="5">
        <v>45831.0</v>
      </c>
      <c r="C13" t="n" s="8">
        <v>-217.53</v>
      </c>
      <c r="D13" s="9"/>
      <c r="E13" t="s" s="1">
        <v>10</v>
      </c>
      <c r="F13" t="s" s="9">
        <v>11</v>
      </c>
      <c r="G13" t="n" s="2">
        <f>C13*-1</f>
        <v>217.53</v>
      </c>
    </row>
    <row r="14">
      <c r="B14" t="n" s="5">
        <v>45831.0</v>
      </c>
      <c r="C14" t="n" s="6">
        <v>-225.95</v>
      </c>
      <c r="D14" s="7"/>
      <c r="E14" t="s" s="1">
        <v>10</v>
      </c>
      <c r="F14" t="s" s="7">
        <v>11</v>
      </c>
      <c r="G14" t="n" s="2">
        <f>C14*-1</f>
        <v>225.95</v>
      </c>
    </row>
    <row r="15">
      <c r="B15" t="n" s="5">
        <v>45831.0</v>
      </c>
      <c r="C15" t="n" s="8">
        <v>-50.9</v>
      </c>
      <c r="D15" s="9"/>
      <c r="E15" t="s" s="1">
        <v>10</v>
      </c>
      <c r="F15" t="s" s="9">
        <v>20</v>
      </c>
      <c r="G15" t="n" s="2">
        <f>C15*-1</f>
        <v>50.9</v>
      </c>
    </row>
    <row r="16">
      <c r="B16" t="n" s="5">
        <v>45830.0</v>
      </c>
      <c r="C16" t="n" s="12">
        <v>1053.65</v>
      </c>
      <c r="D16" s="7"/>
      <c r="E16" t="s" s="1">
        <v>21</v>
      </c>
      <c r="F16" t="s" s="7">
        <v>22</v>
      </c>
      <c r="G16" t="n" s="11">
        <f>C16*-1</f>
        <v>-1053.65</v>
      </c>
    </row>
    <row r="17">
      <c r="B17" t="n" s="5">
        <v>45830.0</v>
      </c>
      <c r="C17" t="n" s="10">
        <v>3286.08</v>
      </c>
      <c r="D17" s="9"/>
      <c r="E17" t="s" s="1">
        <v>21</v>
      </c>
      <c r="F17" t="s" s="9">
        <v>22</v>
      </c>
      <c r="G17" t="n" s="11">
        <f>C17*-1</f>
        <v>-3286.08</v>
      </c>
    </row>
    <row r="18">
      <c r="B18" t="n" s="5">
        <v>45830.0</v>
      </c>
      <c r="C18" t="n" s="12">
        <v>4028.56</v>
      </c>
      <c r="D18" s="7"/>
      <c r="E18" t="s" s="1">
        <v>21</v>
      </c>
      <c r="F18" t="s" s="7">
        <v>23</v>
      </c>
      <c r="G18" t="n" s="11">
        <f>C18*-1</f>
        <v>-4028.56</v>
      </c>
    </row>
    <row r="19">
      <c r="B19" t="n" s="5">
        <v>45830.0</v>
      </c>
      <c r="C19" t="n" s="10">
        <v>11756.79</v>
      </c>
      <c r="D19" s="9"/>
      <c r="E19" t="s" s="1">
        <v>21</v>
      </c>
      <c r="F19" t="s" s="9">
        <v>23</v>
      </c>
      <c r="G19" t="n" s="11">
        <f>C19*-1</f>
        <v>-11756.79</v>
      </c>
    </row>
    <row r="20">
      <c r="B20" t="n" s="5">
        <v>45828.0</v>
      </c>
      <c r="C20" t="n" s="6">
        <v>369.3</v>
      </c>
      <c r="D20" s="7"/>
      <c r="E20" t="s" s="1">
        <v>15</v>
      </c>
      <c r="F20" t="s" s="7">
        <v>24</v>
      </c>
      <c r="G20" t="n" s="2">
        <f>C20*-1</f>
        <v>-369.3</v>
      </c>
    </row>
    <row r="21">
      <c r="B21" t="n" s="5">
        <v>45828.0</v>
      </c>
      <c r="C21" t="n" s="8">
        <v>905.09</v>
      </c>
      <c r="D21" t="s" s="9">
        <v>25</v>
      </c>
      <c r="E21" t="s" s="1">
        <v>26</v>
      </c>
      <c r="F21" t="s" s="9">
        <v>27</v>
      </c>
      <c r="G21" t="n" s="2">
        <f>C21*-1</f>
        <v>-905.09</v>
      </c>
    </row>
    <row r="22">
      <c r="B22" t="n" s="5">
        <v>45828.0</v>
      </c>
      <c r="C22" t="n" s="12">
        <v>1086.26</v>
      </c>
      <c r="D22" s="7"/>
      <c r="E22" t="s" s="1">
        <v>15</v>
      </c>
      <c r="F22" t="s" s="7">
        <v>28</v>
      </c>
      <c r="G22" t="n" s="11">
        <f>C22*-1</f>
        <v>-1086.26</v>
      </c>
    </row>
    <row r="23">
      <c r="B23" t="n" s="5">
        <v>45828.0</v>
      </c>
      <c r="C23" t="n" s="8">
        <v>-623.59</v>
      </c>
      <c r="D23" t="s" s="9">
        <v>10</v>
      </c>
      <c r="E23" t="s" s="1">
        <v>10</v>
      </c>
      <c r="F23" t="s" s="9">
        <v>29</v>
      </c>
      <c r="G23" t="n" s="2">
        <f>C23*-1</f>
        <v>623.59</v>
      </c>
    </row>
    <row r="24">
      <c r="B24" t="n" s="5">
        <v>45828.0</v>
      </c>
      <c r="C24" t="n" s="6">
        <v>-120.91</v>
      </c>
      <c r="D24" t="s" s="7">
        <v>10</v>
      </c>
      <c r="E24" t="s" s="1">
        <v>10</v>
      </c>
      <c r="F24" t="s" s="7">
        <v>30</v>
      </c>
      <c r="G24" t="n" s="2">
        <f>C24*-1</f>
        <v>120.91</v>
      </c>
    </row>
    <row r="25">
      <c r="B25" t="n" s="5">
        <v>45828.0</v>
      </c>
      <c r="C25" t="n" s="8">
        <v>-134.41</v>
      </c>
      <c r="D25" t="s" s="9">
        <v>10</v>
      </c>
      <c r="E25" t="s" s="1">
        <v>10</v>
      </c>
      <c r="F25" t="s" s="9">
        <v>11</v>
      </c>
      <c r="G25" t="n" s="2">
        <f>C25*-1</f>
        <v>134.41</v>
      </c>
    </row>
    <row r="26">
      <c r="B26" t="n" s="5">
        <v>45826.0</v>
      </c>
      <c r="C26" t="n" s="6">
        <v>27.89</v>
      </c>
      <c r="D26" t="s" s="7">
        <v>31</v>
      </c>
      <c r="E26" t="s" s="1">
        <v>8</v>
      </c>
      <c r="F26" t="s" s="7">
        <v>9</v>
      </c>
      <c r="G26" t="n" s="2">
        <f>C26*-1</f>
        <v>-27.89</v>
      </c>
    </row>
    <row r="27">
      <c r="B27" t="n" s="5">
        <v>45826.0</v>
      </c>
      <c r="C27" t="n" s="8">
        <v>123.86</v>
      </c>
      <c r="D27" t="s" s="9">
        <v>10</v>
      </c>
      <c r="E27" t="s" s="1">
        <v>10</v>
      </c>
      <c r="F27" t="s" s="9">
        <v>32</v>
      </c>
      <c r="G27" t="n" s="2">
        <f>C27*-1</f>
        <v>-123.86</v>
      </c>
    </row>
    <row r="28">
      <c r="B28" t="n" s="5">
        <v>45826.0</v>
      </c>
      <c r="C28" t="n" s="6">
        <v>270.59</v>
      </c>
      <c r="D28" t="s" s="7">
        <v>33</v>
      </c>
      <c r="E28" t="s" s="1">
        <v>15</v>
      </c>
      <c r="F28" t="s" s="7">
        <v>16</v>
      </c>
      <c r="G28" t="n" s="2">
        <f>C28*-1</f>
        <v>-270.59</v>
      </c>
    </row>
    <row r="29">
      <c r="B29" t="n" s="5">
        <v>45826.0</v>
      </c>
      <c r="C29" t="n" s="8">
        <v>-205.81</v>
      </c>
      <c r="D29" t="s" s="9">
        <v>10</v>
      </c>
      <c r="E29" t="s" s="1">
        <v>10</v>
      </c>
      <c r="F29" t="s" s="9">
        <v>11</v>
      </c>
      <c r="G29" t="n" s="2">
        <f>C29*-1</f>
        <v>205.81</v>
      </c>
    </row>
    <row r="30">
      <c r="B30" t="n" s="5">
        <v>45826.0</v>
      </c>
      <c r="C30" t="n" s="6">
        <v>-55.59</v>
      </c>
      <c r="D30" t="s" s="7">
        <v>10</v>
      </c>
      <c r="E30" t="s" s="1">
        <v>10</v>
      </c>
      <c r="F30" t="s" s="7">
        <v>34</v>
      </c>
      <c r="G30" t="n" s="2">
        <f>C30*-1</f>
        <v>55.59</v>
      </c>
    </row>
    <row r="31">
      <c r="B31" t="n" s="5">
        <v>45826.0</v>
      </c>
      <c r="C31" t="n" s="8">
        <v>-408.66</v>
      </c>
      <c r="D31" t="s" s="9">
        <v>10</v>
      </c>
      <c r="E31" t="s" s="1">
        <v>10</v>
      </c>
      <c r="F31" t="s" s="9">
        <v>35</v>
      </c>
      <c r="G31" t="n" s="2">
        <f>C31*-1</f>
        <v>408.66</v>
      </c>
    </row>
    <row r="32">
      <c r="B32" t="n" s="5">
        <v>45825.0</v>
      </c>
      <c r="C32" t="n" s="6">
        <v>40.0</v>
      </c>
      <c r="D32" s="7"/>
      <c r="E32" t="s" s="1">
        <v>26</v>
      </c>
      <c r="F32" t="s" s="7">
        <v>36</v>
      </c>
      <c r="G32" t="n" s="2">
        <f>C32*-1</f>
        <v>-40.0</v>
      </c>
    </row>
    <row r="33">
      <c r="B33" t="n" s="5">
        <v>45825.0</v>
      </c>
      <c r="C33" t="n" s="8">
        <v>94.72</v>
      </c>
      <c r="D33" s="9"/>
      <c r="E33" t="s" s="1">
        <v>26</v>
      </c>
      <c r="F33" t="s" s="9">
        <v>37</v>
      </c>
      <c r="G33" t="n" s="2">
        <f>C33*-1</f>
        <v>-94.72</v>
      </c>
    </row>
    <row r="34">
      <c r="B34" t="n" s="5">
        <v>45825.0</v>
      </c>
      <c r="C34" t="n" s="12">
        <v>-5196.75</v>
      </c>
      <c r="D34" t="s" s="7">
        <v>10</v>
      </c>
      <c r="E34" t="s" s="1">
        <v>10</v>
      </c>
      <c r="F34" t="s" s="7">
        <v>38</v>
      </c>
      <c r="G34" t="n" s="11">
        <f>C34*-1</f>
        <v>5196.75</v>
      </c>
    </row>
    <row r="35">
      <c r="B35" t="n" s="5">
        <v>45825.0</v>
      </c>
      <c r="C35" t="n" s="8">
        <v>-76.61</v>
      </c>
      <c r="D35" t="s" s="9">
        <v>10</v>
      </c>
      <c r="E35" t="s" s="1">
        <v>10</v>
      </c>
      <c r="F35" t="s" s="9">
        <v>39</v>
      </c>
      <c r="G35" t="n" s="2">
        <f>C35*-1</f>
        <v>76.61</v>
      </c>
    </row>
    <row r="36">
      <c r="B36" t="n" s="5">
        <v>45825.0</v>
      </c>
      <c r="C36" t="n" s="6">
        <v>-255.93</v>
      </c>
      <c r="D36" t="s" s="7">
        <v>10</v>
      </c>
      <c r="E36" t="s" s="1">
        <v>10</v>
      </c>
      <c r="F36" t="s" s="7">
        <v>11</v>
      </c>
      <c r="G36" t="n" s="2">
        <f>C36*-1</f>
        <v>255.93</v>
      </c>
    </row>
    <row r="37">
      <c r="B37" t="n" s="5">
        <v>45825.0</v>
      </c>
      <c r="C37" t="n" s="8">
        <v>-44.26</v>
      </c>
      <c r="D37" t="s" s="9">
        <v>10</v>
      </c>
      <c r="E37" t="s" s="1">
        <v>10</v>
      </c>
      <c r="F37" t="s" s="9">
        <v>40</v>
      </c>
      <c r="G37" t="n" s="2">
        <f>C37*-1</f>
        <v>44.26</v>
      </c>
    </row>
    <row r="38">
      <c r="B38" t="n" s="5">
        <v>45825.0</v>
      </c>
      <c r="C38" t="n" s="6">
        <v>-170.51</v>
      </c>
      <c r="D38" t="s" s="7">
        <v>10</v>
      </c>
      <c r="E38" t="s" s="1">
        <v>10</v>
      </c>
      <c r="F38" t="s" s="7">
        <v>41</v>
      </c>
      <c r="G38" t="n" s="2">
        <f>C38*-1</f>
        <v>170.51</v>
      </c>
    </row>
    <row r="39">
      <c r="B39" t="n" s="5">
        <v>45824.0</v>
      </c>
      <c r="C39" t="n" s="8">
        <v>1.45</v>
      </c>
      <c r="D39" s="9"/>
      <c r="E39" t="s" s="1">
        <v>26</v>
      </c>
      <c r="F39" t="s" s="9">
        <v>42</v>
      </c>
      <c r="G39" t="n" s="2">
        <f>C39*-1</f>
        <v>-1.45</v>
      </c>
    </row>
    <row r="40">
      <c r="B40" t="n" s="5">
        <v>45824.0</v>
      </c>
      <c r="C40" t="n" s="6">
        <v>36.02</v>
      </c>
      <c r="D40" t="s" s="7">
        <v>31</v>
      </c>
      <c r="E40" t="s" s="1">
        <v>8</v>
      </c>
      <c r="F40" t="s" s="7">
        <v>9</v>
      </c>
      <c r="G40" t="n" s="2">
        <f>C40*-1</f>
        <v>-36.02</v>
      </c>
    </row>
    <row r="41">
      <c r="B41" t="n" s="5">
        <v>45824.0</v>
      </c>
      <c r="C41" t="n" s="8">
        <v>-120.41</v>
      </c>
      <c r="D41" t="s" s="9">
        <v>10</v>
      </c>
      <c r="E41" t="s" s="1">
        <v>10</v>
      </c>
      <c r="F41" t="s" s="9">
        <v>11</v>
      </c>
      <c r="G41" t="n" s="2">
        <f>C41*-1</f>
        <v>120.41</v>
      </c>
    </row>
    <row r="42">
      <c r="B42" t="n" s="5">
        <v>45824.0</v>
      </c>
      <c r="C42" t="n" s="12">
        <v>-1120.64</v>
      </c>
      <c r="D42" t="s" s="7">
        <v>10</v>
      </c>
      <c r="E42" t="s" s="1">
        <v>10</v>
      </c>
      <c r="F42" t="s" s="7">
        <v>43</v>
      </c>
      <c r="G42" t="n" s="11">
        <f>C42*-1</f>
        <v>1120.64</v>
      </c>
    </row>
    <row r="43">
      <c r="B43" t="n" s="5">
        <v>45824.0</v>
      </c>
      <c r="C43" t="n" s="8">
        <v>-235.36</v>
      </c>
      <c r="D43" t="s" s="9">
        <v>10</v>
      </c>
      <c r="E43" t="s" s="1">
        <v>10</v>
      </c>
      <c r="F43" t="s" s="9">
        <v>11</v>
      </c>
      <c r="G43" t="n" s="2">
        <f>C43*-1</f>
        <v>235.36</v>
      </c>
    </row>
    <row r="44">
      <c r="B44" t="n" s="5">
        <v>45824.0</v>
      </c>
      <c r="C44" t="n" s="6">
        <v>-79.9</v>
      </c>
      <c r="D44" t="s" s="7">
        <v>10</v>
      </c>
      <c r="E44" t="s" s="1">
        <v>10</v>
      </c>
      <c r="F44" t="s" s="7">
        <v>11</v>
      </c>
      <c r="G44" t="n" s="2">
        <f>C44*-1</f>
        <v>79.9</v>
      </c>
    </row>
    <row r="45">
      <c r="B45" t="n" s="5">
        <v>45823.0</v>
      </c>
      <c r="C45" t="n" s="10">
        <v>11371.29</v>
      </c>
      <c r="D45" s="9"/>
      <c r="E45" t="s" s="1">
        <v>44</v>
      </c>
      <c r="F45" t="s" s="9">
        <v>45</v>
      </c>
      <c r="G45" t="n" s="11">
        <f>C45*-1</f>
        <v>-11371.29</v>
      </c>
    </row>
    <row r="46">
      <c r="B46" t="n" s="5">
        <v>45821.0</v>
      </c>
      <c r="C46" t="n" s="6">
        <v>-73.66</v>
      </c>
      <c r="D46" t="s" s="7">
        <v>10</v>
      </c>
      <c r="E46" t="s" s="1">
        <v>10</v>
      </c>
      <c r="F46" t="s" s="7">
        <v>46</v>
      </c>
      <c r="G46" t="n" s="2">
        <f>C46*-1</f>
        <v>73.66</v>
      </c>
    </row>
    <row r="47">
      <c r="B47" t="n" s="5">
        <v>45821.0</v>
      </c>
      <c r="C47" t="n" s="10">
        <v>-1221.43</v>
      </c>
      <c r="D47" t="s" s="9">
        <v>10</v>
      </c>
      <c r="E47" t="s" s="1">
        <v>10</v>
      </c>
      <c r="F47" t="s" s="9">
        <v>47</v>
      </c>
      <c r="G47" t="n" s="11">
        <f>C47*-1</f>
        <v>1221.43</v>
      </c>
    </row>
    <row r="48">
      <c r="B48" t="n" s="5">
        <v>45821.0</v>
      </c>
      <c r="C48" t="n" s="6">
        <v>-117.05</v>
      </c>
      <c r="D48" t="s" s="7">
        <v>10</v>
      </c>
      <c r="E48" t="s" s="1">
        <v>10</v>
      </c>
      <c r="F48" t="s" s="7">
        <v>11</v>
      </c>
      <c r="G48" t="n" s="2">
        <f>C48*-1</f>
        <v>117.05</v>
      </c>
    </row>
    <row r="49">
      <c r="B49" t="n" s="5">
        <v>45821.0</v>
      </c>
      <c r="C49" t="n" s="8">
        <v>-138.24</v>
      </c>
      <c r="D49" t="s" s="9">
        <v>48</v>
      </c>
      <c r="E49" t="s" s="1">
        <v>49</v>
      </c>
      <c r="F49" t="s" s="9">
        <v>50</v>
      </c>
      <c r="G49" t="n" s="2">
        <f>C49*-1</f>
        <v>138.24</v>
      </c>
    </row>
    <row r="50">
      <c r="B50" t="n" s="5">
        <v>45820.0</v>
      </c>
      <c r="C50" t="n" s="12">
        <v>7440.6</v>
      </c>
      <c r="D50" s="7"/>
      <c r="E50" t="s" s="1">
        <v>51</v>
      </c>
      <c r="F50" t="s" s="7">
        <v>52</v>
      </c>
      <c r="G50" t="n" s="11">
        <f>C50*-1</f>
        <v>-7440.6</v>
      </c>
    </row>
    <row r="51">
      <c r="B51" t="n" s="5">
        <v>45820.0</v>
      </c>
      <c r="C51" t="n" s="8">
        <v>-101.11</v>
      </c>
      <c r="D51" t="s" s="9">
        <v>48</v>
      </c>
      <c r="E51" t="s" s="1">
        <v>49</v>
      </c>
      <c r="F51" t="s" s="9">
        <v>53</v>
      </c>
      <c r="G51" t="n" s="2">
        <f>C51*-1</f>
        <v>101.11</v>
      </c>
    </row>
    <row r="52">
      <c r="B52" t="n" s="5">
        <v>45820.0</v>
      </c>
      <c r="C52" t="n" s="6">
        <v>-424.04</v>
      </c>
      <c r="D52" t="s" s="7">
        <v>10</v>
      </c>
      <c r="E52" t="s" s="1">
        <v>10</v>
      </c>
      <c r="F52" t="s" s="7">
        <v>11</v>
      </c>
      <c r="G52" t="n" s="2">
        <f>C52*-1</f>
        <v>424.04</v>
      </c>
    </row>
    <row r="53">
      <c r="B53" t="n" s="5">
        <v>45820.0</v>
      </c>
      <c r="C53" t="n" s="8">
        <v>-50.9</v>
      </c>
      <c r="D53" t="s" s="9">
        <v>10</v>
      </c>
      <c r="E53" t="s" s="1">
        <v>10</v>
      </c>
      <c r="F53" t="s" s="9">
        <v>54</v>
      </c>
      <c r="G53" t="n" s="2">
        <f>C53*-1</f>
        <v>50.9</v>
      </c>
    </row>
    <row r="54">
      <c r="B54" t="n" s="5">
        <v>45820.0</v>
      </c>
      <c r="C54" t="n" s="12">
        <v>-1649.92</v>
      </c>
      <c r="D54" t="s" s="7">
        <v>10</v>
      </c>
      <c r="E54" t="s" s="1">
        <v>10</v>
      </c>
      <c r="F54" t="s" s="7">
        <v>55</v>
      </c>
      <c r="G54" t="n" s="11">
        <f>C54*-1</f>
        <v>1649.92</v>
      </c>
    </row>
    <row r="55">
      <c r="B55" t="n" s="5">
        <v>45820.0</v>
      </c>
      <c r="C55" t="n" s="8">
        <v>-267.92</v>
      </c>
      <c r="D55" t="s" s="9">
        <v>48</v>
      </c>
      <c r="E55" t="s" s="1">
        <v>49</v>
      </c>
      <c r="F55" t="s" s="9">
        <v>56</v>
      </c>
      <c r="G55" t="n" s="2">
        <f>C55*-1</f>
        <v>267.92</v>
      </c>
    </row>
    <row r="56">
      <c r="B56" t="n" s="5">
        <v>45819.0</v>
      </c>
      <c r="C56" t="n" s="12">
        <v>6839.01</v>
      </c>
      <c r="D56" s="7"/>
      <c r="E56" s="1"/>
      <c r="F56" t="s" s="7">
        <v>57</v>
      </c>
      <c r="G56" t="n" s="11">
        <f>C56*-1</f>
        <v>-6839.01</v>
      </c>
    </row>
    <row r="57">
      <c r="B57" t="n" s="5">
        <v>45819.0</v>
      </c>
      <c r="C57" t="n" s="8">
        <v>-203.13</v>
      </c>
      <c r="D57" t="s" s="9">
        <v>58</v>
      </c>
      <c r="E57" t="s" s="1">
        <v>10</v>
      </c>
      <c r="F57" t="s" s="9">
        <v>11</v>
      </c>
      <c r="G57" t="n" s="2">
        <f>C57*-1</f>
        <v>203.13</v>
      </c>
    </row>
    <row r="58">
      <c r="B58" t="n" s="5">
        <v>45819.0</v>
      </c>
      <c r="C58" t="n" s="6">
        <v>-44.5</v>
      </c>
      <c r="D58" t="s" s="7">
        <v>59</v>
      </c>
      <c r="E58" t="s" s="1">
        <v>10</v>
      </c>
      <c r="F58" t="s" s="7">
        <v>60</v>
      </c>
      <c r="G58" t="n" s="2">
        <f>C58*-1</f>
        <v>44.5</v>
      </c>
    </row>
    <row r="59">
      <c r="B59" t="n" s="5">
        <v>45819.0</v>
      </c>
      <c r="C59" t="n" s="8">
        <v>-56.08</v>
      </c>
      <c r="D59" t="s" s="9">
        <v>10</v>
      </c>
      <c r="E59" t="s" s="1">
        <v>10</v>
      </c>
      <c r="F59" t="s" s="9">
        <v>61</v>
      </c>
      <c r="G59" t="n" s="2">
        <f>C59*-1</f>
        <v>56.08</v>
      </c>
    </row>
    <row r="60">
      <c r="B60" t="n" s="5">
        <v>45819.0</v>
      </c>
      <c r="C60" t="n" s="6">
        <v>-101.11</v>
      </c>
      <c r="D60" t="s" s="7">
        <v>48</v>
      </c>
      <c r="E60" t="s" s="1">
        <v>49</v>
      </c>
      <c r="F60" t="s" s="7">
        <v>62</v>
      </c>
      <c r="G60" t="n" s="2">
        <f>C60*-1</f>
        <v>101.11</v>
      </c>
    </row>
    <row r="61">
      <c r="B61" t="n" s="5">
        <v>45819.0</v>
      </c>
      <c r="C61" t="n" s="10">
        <v>-1761.09</v>
      </c>
      <c r="D61" t="s" s="9">
        <v>10</v>
      </c>
      <c r="E61" t="s" s="1">
        <v>10</v>
      </c>
      <c r="F61" t="s" s="9">
        <v>63</v>
      </c>
      <c r="G61" t="n" s="11">
        <f>C61*-1</f>
        <v>1761.09</v>
      </c>
    </row>
    <row r="62">
      <c r="B62" t="n" s="5">
        <v>45818.0</v>
      </c>
      <c r="C62" t="n" s="6">
        <v>21.18</v>
      </c>
      <c r="D62" t="s" s="7">
        <v>31</v>
      </c>
      <c r="E62" t="s" s="1">
        <v>8</v>
      </c>
      <c r="F62" t="s" s="7">
        <v>9</v>
      </c>
      <c r="G62" t="n" s="2">
        <f>C62*-1</f>
        <v>-21.18</v>
      </c>
    </row>
    <row r="63">
      <c r="B63" t="n" s="5">
        <v>45818.0</v>
      </c>
      <c r="C63" t="n" s="8">
        <v>-517.0</v>
      </c>
      <c r="D63" t="s" s="9">
        <v>58</v>
      </c>
      <c r="E63" t="s" s="1">
        <v>10</v>
      </c>
      <c r="F63" t="s" s="9">
        <v>11</v>
      </c>
      <c r="G63" t="n" s="2">
        <f>C63*-1</f>
        <v>517.0</v>
      </c>
    </row>
    <row r="64">
      <c r="B64" t="n" s="5">
        <v>45818.0</v>
      </c>
      <c r="C64" t="n" s="6">
        <v>-144.64</v>
      </c>
      <c r="D64" t="s" s="7">
        <v>64</v>
      </c>
      <c r="E64" t="s" s="1">
        <v>10</v>
      </c>
      <c r="F64" t="s" s="7">
        <v>65</v>
      </c>
      <c r="G64" t="n" s="2">
        <f>C64*-1</f>
        <v>144.64</v>
      </c>
    </row>
    <row r="65">
      <c r="B65" t="n" s="5">
        <v>45818.0</v>
      </c>
      <c r="C65" t="n" s="8">
        <v>-98.64</v>
      </c>
      <c r="D65" t="s" s="9">
        <v>64</v>
      </c>
      <c r="E65" t="s" s="1">
        <v>10</v>
      </c>
      <c r="F65" t="s" s="9">
        <v>66</v>
      </c>
      <c r="G65" t="n" s="2">
        <f>C65*-1</f>
        <v>98.64</v>
      </c>
    </row>
    <row r="66">
      <c r="B66" t="n" s="5">
        <v>45818.0</v>
      </c>
      <c r="C66" t="n" s="12">
        <v>-4929.75</v>
      </c>
      <c r="D66" t="s" s="7">
        <v>10</v>
      </c>
      <c r="E66" t="s" s="1">
        <v>10</v>
      </c>
      <c r="F66" t="s" s="7">
        <v>67</v>
      </c>
      <c r="G66" t="n" s="11">
        <f>C66*-1</f>
        <v>4929.75</v>
      </c>
    </row>
    <row r="67">
      <c r="B67" t="n" s="5">
        <v>45818.0</v>
      </c>
      <c r="C67" t="n" s="8">
        <v>-90.13</v>
      </c>
      <c r="D67" t="s" s="9">
        <v>64</v>
      </c>
      <c r="E67" t="s" s="1">
        <v>10</v>
      </c>
      <c r="F67" t="s" s="9">
        <v>68</v>
      </c>
      <c r="G67" t="n" s="2">
        <f>C67*-1</f>
        <v>90.13</v>
      </c>
    </row>
    <row r="68">
      <c r="B68" t="n" s="5">
        <v>45817.0</v>
      </c>
      <c r="C68" t="n" s="6">
        <v>-308.65</v>
      </c>
      <c r="D68" s="7"/>
      <c r="E68" t="s" s="1">
        <v>26</v>
      </c>
      <c r="F68" t="s" s="7">
        <v>69</v>
      </c>
      <c r="G68" t="n" s="2">
        <f>C68*-1</f>
        <v>308.65</v>
      </c>
    </row>
    <row r="69">
      <c r="B69" t="n" s="5">
        <v>45817.0</v>
      </c>
      <c r="C69" t="n" s="10">
        <v>-1252.69</v>
      </c>
      <c r="D69" t="s" s="9">
        <v>10</v>
      </c>
      <c r="E69" t="s" s="1">
        <v>10</v>
      </c>
      <c r="F69" t="s" s="9">
        <v>70</v>
      </c>
      <c r="G69" t="n" s="11">
        <f>C69*-1</f>
        <v>1252.69</v>
      </c>
    </row>
    <row r="70">
      <c r="B70" t="n" s="5">
        <v>45817.0</v>
      </c>
      <c r="C70" t="n" s="6">
        <v>-45.02</v>
      </c>
      <c r="D70" t="s" s="7">
        <v>58</v>
      </c>
      <c r="E70" t="s" s="1">
        <v>10</v>
      </c>
      <c r="F70" t="s" s="7">
        <v>11</v>
      </c>
      <c r="G70" t="n" s="2">
        <f>C70*-1</f>
        <v>45.02</v>
      </c>
    </row>
    <row r="71">
      <c r="B71" t="n" s="5">
        <v>45816.0</v>
      </c>
      <c r="C71" t="n" s="10">
        <v>1145.01</v>
      </c>
      <c r="D71" s="9"/>
      <c r="E71" t="s" s="1">
        <v>21</v>
      </c>
      <c r="F71" t="s" s="9">
        <v>22</v>
      </c>
      <c r="G71" t="n" s="11">
        <f>C71*-1</f>
        <v>-1145.01</v>
      </c>
    </row>
    <row r="72">
      <c r="B72" t="n" s="5">
        <v>45816.0</v>
      </c>
      <c r="C72" t="n" s="12">
        <v>3286.06</v>
      </c>
      <c r="D72" s="7"/>
      <c r="E72" t="s" s="1">
        <v>21</v>
      </c>
      <c r="F72" t="s" s="7">
        <v>22</v>
      </c>
      <c r="G72" t="n" s="11">
        <f>C72*-1</f>
        <v>-3286.06</v>
      </c>
    </row>
    <row r="73">
      <c r="B73" t="n" s="5">
        <v>45816.0</v>
      </c>
      <c r="C73" t="n" s="10">
        <v>4297.63</v>
      </c>
      <c r="D73" s="9"/>
      <c r="E73" t="s" s="1">
        <v>21</v>
      </c>
      <c r="F73" t="s" s="9">
        <v>23</v>
      </c>
      <c r="G73" t="n" s="11">
        <f>C73*-1</f>
        <v>-4297.63</v>
      </c>
    </row>
    <row r="74">
      <c r="B74" t="n" s="5">
        <v>45816.0</v>
      </c>
      <c r="C74" t="n" s="12">
        <v>11756.8</v>
      </c>
      <c r="D74" s="7"/>
      <c r="E74" t="s" s="1">
        <v>21</v>
      </c>
      <c r="F74" t="s" s="7">
        <v>23</v>
      </c>
      <c r="G74" t="n" s="11">
        <f>C74*-1</f>
        <v>-11756.8</v>
      </c>
    </row>
    <row r="75">
      <c r="B75" t="n" s="5">
        <v>45814.0</v>
      </c>
      <c r="C75" t="n" s="8">
        <v>-318.18</v>
      </c>
      <c r="D75" t="s" s="9">
        <v>58</v>
      </c>
      <c r="E75" t="s" s="1">
        <v>10</v>
      </c>
      <c r="F75" t="s" s="9">
        <v>11</v>
      </c>
      <c r="G75" t="n" s="2">
        <f>C75*-1</f>
        <v>318.18</v>
      </c>
    </row>
    <row r="76">
      <c r="B76" t="n" s="5">
        <v>45814.0</v>
      </c>
      <c r="C76" t="n" s="6">
        <v>-106.92</v>
      </c>
      <c r="D76" t="s" s="7">
        <v>10</v>
      </c>
      <c r="E76" t="s" s="1">
        <v>10</v>
      </c>
      <c r="F76" t="s" s="7">
        <v>71</v>
      </c>
      <c r="G76" t="n" s="2">
        <f>C76*-1</f>
        <v>106.92</v>
      </c>
    </row>
    <row r="77">
      <c r="B77" t="n" s="5">
        <v>45814.0</v>
      </c>
      <c r="C77" t="n" s="10">
        <v>-1666.55</v>
      </c>
      <c r="D77" t="s" s="9">
        <v>10</v>
      </c>
      <c r="E77" t="s" s="1">
        <v>10</v>
      </c>
      <c r="F77" t="s" s="9">
        <v>72</v>
      </c>
      <c r="G77" t="n" s="11">
        <f>C77*-1</f>
        <v>1666.55</v>
      </c>
    </row>
    <row r="78">
      <c r="B78" t="n" s="5">
        <v>45813.0</v>
      </c>
      <c r="C78" t="n" s="12">
        <v>25000.0</v>
      </c>
      <c r="D78" s="7"/>
      <c r="E78" t="s" s="1">
        <v>44</v>
      </c>
      <c r="F78" t="s" s="7">
        <v>45</v>
      </c>
      <c r="G78" t="n" s="11">
        <f>C78*-1</f>
        <v>-25000.0</v>
      </c>
    </row>
    <row r="79">
      <c r="B79" t="n" s="5">
        <v>45813.0</v>
      </c>
      <c r="C79" t="n" s="8">
        <v>-180.93</v>
      </c>
      <c r="D79" t="s" s="9">
        <v>58</v>
      </c>
      <c r="E79" t="s" s="1">
        <v>10</v>
      </c>
      <c r="F79" t="s" s="9">
        <v>11</v>
      </c>
      <c r="G79" t="n" s="2">
        <f>C79*-1</f>
        <v>180.93</v>
      </c>
    </row>
    <row r="80">
      <c r="B80" t="n" s="5">
        <v>45813.0</v>
      </c>
      <c r="C80" t="n" s="6">
        <v>-573.09</v>
      </c>
      <c r="D80" t="s" s="7">
        <v>10</v>
      </c>
      <c r="E80" t="s" s="1">
        <v>10</v>
      </c>
      <c r="F80" t="s" s="7">
        <v>73</v>
      </c>
      <c r="G80" t="n" s="2">
        <f>C80*-1</f>
        <v>573.09</v>
      </c>
    </row>
    <row r="81">
      <c r="B81" t="n" s="5">
        <v>45812.0</v>
      </c>
      <c r="C81" t="n" s="8">
        <v>225.0</v>
      </c>
      <c r="D81" t="s" s="9">
        <v>74</v>
      </c>
      <c r="E81" t="s" s="1">
        <v>8</v>
      </c>
      <c r="F81" t="s" s="9">
        <v>75</v>
      </c>
      <c r="G81" t="n" s="2">
        <f>C81*-1</f>
        <v>-225.0</v>
      </c>
    </row>
    <row r="82">
      <c r="B82" t="n" s="5">
        <v>45812.0</v>
      </c>
      <c r="C82" t="n" s="6">
        <v>358.13</v>
      </c>
      <c r="D82" t="s" s="7">
        <v>76</v>
      </c>
      <c r="E82" t="s" s="1">
        <v>26</v>
      </c>
      <c r="F82" t="s" s="7">
        <v>77</v>
      </c>
      <c r="G82" t="n" s="2">
        <f>C82*-1</f>
        <v>-358.13</v>
      </c>
    </row>
    <row r="83">
      <c r="B83" t="n" s="5">
        <v>45812.0</v>
      </c>
      <c r="C83" t="n" s="10">
        <v>-1095.62</v>
      </c>
      <c r="D83" t="s" s="9">
        <v>10</v>
      </c>
      <c r="E83" t="s" s="1">
        <v>10</v>
      </c>
      <c r="F83" t="s" s="9">
        <v>78</v>
      </c>
      <c r="G83" t="n" s="11">
        <f>C83*-1</f>
        <v>1095.62</v>
      </c>
    </row>
    <row r="84">
      <c r="B84" t="n" s="5">
        <v>45812.0</v>
      </c>
      <c r="C84" t="n" s="6">
        <v>-199.03</v>
      </c>
      <c r="D84" t="s" s="7">
        <v>10</v>
      </c>
      <c r="E84" t="s" s="1">
        <v>10</v>
      </c>
      <c r="F84" t="s" s="7">
        <v>11</v>
      </c>
      <c r="G84" t="n" s="2">
        <f>C84*-1</f>
        <v>199.03</v>
      </c>
    </row>
    <row r="85">
      <c r="B85" t="n" s="5">
        <v>45811.0</v>
      </c>
      <c r="C85" t="n" s="8">
        <v>329.23</v>
      </c>
      <c r="D85" t="s" s="9">
        <v>79</v>
      </c>
      <c r="E85" t="s" s="1">
        <v>26</v>
      </c>
      <c r="F85" t="s" s="9">
        <v>80</v>
      </c>
      <c r="G85" t="n" s="2">
        <f>C85*-1</f>
        <v>-329.23</v>
      </c>
    </row>
    <row r="86">
      <c r="B86" t="n" s="5">
        <v>45811.0</v>
      </c>
      <c r="C86" t="n" s="6">
        <v>688.24</v>
      </c>
      <c r="D86" s="7"/>
      <c r="E86" t="s" s="1">
        <v>26</v>
      </c>
      <c r="F86" t="s" s="7">
        <v>81</v>
      </c>
      <c r="G86" t="n" s="2">
        <f>C86*-1</f>
        <v>-688.24</v>
      </c>
    </row>
    <row r="87">
      <c r="B87" t="n" s="5">
        <v>45811.0</v>
      </c>
      <c r="C87" t="n" s="8">
        <v>-68.47</v>
      </c>
      <c r="D87" t="s" s="9">
        <v>58</v>
      </c>
      <c r="E87" t="s" s="1">
        <v>10</v>
      </c>
      <c r="F87" t="s" s="9">
        <v>11</v>
      </c>
      <c r="G87" t="n" s="2">
        <f>C87*-1</f>
        <v>68.47</v>
      </c>
    </row>
    <row r="88">
      <c r="B88" t="n" s="5">
        <v>45811.0</v>
      </c>
      <c r="C88" t="n" s="6">
        <v>-50.9</v>
      </c>
      <c r="D88" t="s" s="7">
        <v>10</v>
      </c>
      <c r="E88" t="s" s="1">
        <v>10</v>
      </c>
      <c r="F88" t="s" s="7">
        <v>82</v>
      </c>
      <c r="G88" t="n" s="2">
        <f>C88*-1</f>
        <v>50.9</v>
      </c>
    </row>
    <row r="89">
      <c r="B89" t="n" s="5">
        <v>45811.0</v>
      </c>
      <c r="C89" t="n" s="8">
        <v>-51.95</v>
      </c>
      <c r="D89" t="s" s="9">
        <v>10</v>
      </c>
      <c r="E89" t="s" s="1">
        <v>10</v>
      </c>
      <c r="F89" t="s" s="9">
        <v>83</v>
      </c>
      <c r="G89" t="n" s="2">
        <f>C89*-1</f>
        <v>51.95</v>
      </c>
    </row>
    <row r="90">
      <c r="B90" t="n" s="5">
        <v>45811.0</v>
      </c>
      <c r="C90" t="n" s="12">
        <v>-2352.62</v>
      </c>
      <c r="D90" t="s" s="7">
        <v>10</v>
      </c>
      <c r="E90" t="s" s="1">
        <v>10</v>
      </c>
      <c r="F90" t="s" s="7">
        <v>84</v>
      </c>
      <c r="G90" t="n" s="11">
        <f>C90*-1</f>
        <v>2352.62</v>
      </c>
    </row>
    <row r="91">
      <c r="B91" t="n" s="5">
        <v>45811.0</v>
      </c>
      <c r="C91" t="n" s="8">
        <v>-64.93</v>
      </c>
      <c r="D91" t="s" s="9">
        <v>10</v>
      </c>
      <c r="E91" t="s" s="1">
        <v>10</v>
      </c>
      <c r="F91" t="s" s="9">
        <v>85</v>
      </c>
      <c r="G91" t="n" s="2">
        <f>C91*-1</f>
        <v>64.93</v>
      </c>
    </row>
    <row r="92">
      <c r="B92" t="n" s="5">
        <v>45810.0</v>
      </c>
      <c r="C92" t="n" s="6">
        <v>900.0</v>
      </c>
      <c r="D92" t="s" s="7">
        <v>74</v>
      </c>
      <c r="E92" t="s" s="1">
        <v>8</v>
      </c>
      <c r="F92" t="s" s="7">
        <v>75</v>
      </c>
      <c r="G92" t="n" s="2">
        <f>C92*-1</f>
        <v>-900.0</v>
      </c>
    </row>
    <row r="93">
      <c r="B93" t="n" s="5">
        <v>45810.0</v>
      </c>
      <c r="C93" t="n" s="10">
        <v>2720.73</v>
      </c>
      <c r="D93" t="s" s="9">
        <v>86</v>
      </c>
      <c r="E93" t="s" s="1">
        <v>21</v>
      </c>
      <c r="F93" t="s" s="9">
        <v>87</v>
      </c>
      <c r="G93" t="n" s="11">
        <f>C93*-1</f>
        <v>-2720.73</v>
      </c>
    </row>
    <row r="94">
      <c r="B94" t="n" s="5">
        <v>45810.0</v>
      </c>
      <c r="C94" t="n" s="6">
        <v>-151.47</v>
      </c>
      <c r="D94" t="s" s="7">
        <v>58</v>
      </c>
      <c r="E94" t="s" s="1">
        <v>10</v>
      </c>
      <c r="F94" t="s" s="7">
        <v>11</v>
      </c>
      <c r="G94" t="n" s="2">
        <f>C94*-1</f>
        <v>151.47</v>
      </c>
    </row>
    <row r="95">
      <c r="B95" t="n" s="5">
        <v>45810.0</v>
      </c>
      <c r="C95" t="n" s="8">
        <v>-118.77</v>
      </c>
      <c r="D95" t="s" s="9">
        <v>58</v>
      </c>
      <c r="E95" t="s" s="1">
        <v>10</v>
      </c>
      <c r="F95" t="s" s="9">
        <v>11</v>
      </c>
      <c r="G95" t="n" s="2">
        <f>C95*-1</f>
        <v>118.77</v>
      </c>
    </row>
    <row r="96">
      <c r="B96" t="n" s="5">
        <v>45810.0</v>
      </c>
      <c r="C96" t="n" s="6">
        <v>-53.85</v>
      </c>
      <c r="D96" t="s" s="7">
        <v>58</v>
      </c>
      <c r="E96" t="s" s="1">
        <v>10</v>
      </c>
      <c r="F96" t="s" s="7">
        <v>11</v>
      </c>
      <c r="G96" t="n" s="2">
        <f>C96*-1</f>
        <v>53.85</v>
      </c>
    </row>
    <row r="97">
      <c r="B97" t="n" s="5">
        <v>45810.0</v>
      </c>
      <c r="C97" t="n" s="8">
        <v>-817.56</v>
      </c>
      <c r="D97" t="s" s="9">
        <v>10</v>
      </c>
      <c r="E97" t="s" s="1">
        <v>10</v>
      </c>
      <c r="F97" t="s" s="9">
        <v>88</v>
      </c>
      <c r="G97" t="n" s="2">
        <f>C97*-1</f>
        <v>817.56</v>
      </c>
    </row>
    <row r="98">
      <c r="B98" t="n" s="5">
        <v>45832.0</v>
      </c>
      <c r="C98" t="n" s="8">
        <v>-7390.0</v>
      </c>
      <c r="D98" t="s" s="9">
        <v>89</v>
      </c>
      <c r="E98" t="s" s="1">
        <v>90</v>
      </c>
      <c r="F98" s="9"/>
    </row>
  </sheetData>
  <dataValidations count="97">
    <dataValidation type="list" sqref="E2" allowBlank="true" errorStyle="stop">
      <formula1>'Categories'!A2:A12</formula1>
    </dataValidation>
    <dataValidation type="list" sqref="E3" allowBlank="true" errorStyle="stop">
      <formula1>'Categories'!A2:A12</formula1>
    </dataValidation>
    <dataValidation type="list" sqref="E4" allowBlank="true" errorStyle="stop">
      <formula1>'Categories'!A2:A12</formula1>
    </dataValidation>
    <dataValidation type="list" sqref="E5" allowBlank="true" errorStyle="stop">
      <formula1>'Categories'!A2:A12</formula1>
    </dataValidation>
    <dataValidation type="list" sqref="E6" allowBlank="true" errorStyle="stop">
      <formula1>'Categories'!A2:A12</formula1>
    </dataValidation>
    <dataValidation type="list" sqref="E7" allowBlank="true" errorStyle="stop">
      <formula1>'Categories'!A2:A12</formula1>
    </dataValidation>
    <dataValidation type="list" sqref="E8" allowBlank="true" errorStyle="stop">
      <formula1>'Categories'!A2:A12</formula1>
    </dataValidation>
    <dataValidation type="list" sqref="E9" allowBlank="true" errorStyle="stop">
      <formula1>'Categories'!A2:A12</formula1>
    </dataValidation>
    <dataValidation type="list" sqref="E10" allowBlank="true" errorStyle="stop">
      <formula1>'Categories'!A2:A12</formula1>
    </dataValidation>
    <dataValidation type="list" sqref="E11" allowBlank="true" errorStyle="stop">
      <formula1>'Categories'!A2:A12</formula1>
    </dataValidation>
    <dataValidation type="list" sqref="E12" allowBlank="true" errorStyle="stop">
      <formula1>'Categories'!A2:A12</formula1>
    </dataValidation>
    <dataValidation type="list" sqref="E13" allowBlank="true" errorStyle="stop">
      <formula1>'Categories'!A2:A12</formula1>
    </dataValidation>
    <dataValidation type="list" sqref="E14" allowBlank="true" errorStyle="stop">
      <formula1>'Categories'!A2:A12</formula1>
    </dataValidation>
    <dataValidation type="list" sqref="E15" allowBlank="true" errorStyle="stop">
      <formula1>'Categories'!A2:A12</formula1>
    </dataValidation>
    <dataValidation type="list" sqref="E16" allowBlank="true" errorStyle="stop">
      <formula1>'Categories'!A2:A12</formula1>
    </dataValidation>
    <dataValidation type="list" sqref="E17" allowBlank="true" errorStyle="stop">
      <formula1>'Categories'!A2:A12</formula1>
    </dataValidation>
    <dataValidation type="list" sqref="E18" allowBlank="true" errorStyle="stop">
      <formula1>'Categories'!A2:A12</formula1>
    </dataValidation>
    <dataValidation type="list" sqref="E19" allowBlank="true" errorStyle="stop">
      <formula1>'Categories'!A2:A12</formula1>
    </dataValidation>
    <dataValidation type="list" sqref="E20" allowBlank="true" errorStyle="stop">
      <formula1>'Categories'!A2:A12</formula1>
    </dataValidation>
    <dataValidation type="list" sqref="E21" allowBlank="true" errorStyle="stop">
      <formula1>'Categories'!A2:A12</formula1>
    </dataValidation>
    <dataValidation type="list" sqref="E22" allowBlank="true" errorStyle="stop">
      <formula1>'Categories'!A2:A12</formula1>
    </dataValidation>
    <dataValidation type="list" sqref="E23" allowBlank="true" errorStyle="stop">
      <formula1>'Categories'!A2:A12</formula1>
    </dataValidation>
    <dataValidation type="list" sqref="E24" allowBlank="true" errorStyle="stop">
      <formula1>'Categories'!A2:A12</formula1>
    </dataValidation>
    <dataValidation type="list" sqref="E25" allowBlank="true" errorStyle="stop">
      <formula1>'Categories'!A2:A12</formula1>
    </dataValidation>
    <dataValidation type="list" sqref="E26" allowBlank="true" errorStyle="stop">
      <formula1>'Categories'!A2:A12</formula1>
    </dataValidation>
    <dataValidation type="list" sqref="E27" allowBlank="true" errorStyle="stop">
      <formula1>'Categories'!A2:A12</formula1>
    </dataValidation>
    <dataValidation type="list" sqref="E28" allowBlank="true" errorStyle="stop">
      <formula1>'Categories'!A2:A12</formula1>
    </dataValidation>
    <dataValidation type="list" sqref="E29" allowBlank="true" errorStyle="stop">
      <formula1>'Categories'!A2:A12</formula1>
    </dataValidation>
    <dataValidation type="list" sqref="E30" allowBlank="true" errorStyle="stop">
      <formula1>'Categories'!A2:A12</formula1>
    </dataValidation>
    <dataValidation type="list" sqref="E31" allowBlank="true" errorStyle="stop">
      <formula1>'Categories'!A2:A12</formula1>
    </dataValidation>
    <dataValidation type="list" sqref="E32" allowBlank="true" errorStyle="stop">
      <formula1>'Categories'!A2:A12</formula1>
    </dataValidation>
    <dataValidation type="list" sqref="E33" allowBlank="true" errorStyle="stop">
      <formula1>'Categories'!A2:A12</formula1>
    </dataValidation>
    <dataValidation type="list" sqref="E34" allowBlank="true" errorStyle="stop">
      <formula1>'Categories'!A2:A12</formula1>
    </dataValidation>
    <dataValidation type="list" sqref="E35" allowBlank="true" errorStyle="stop">
      <formula1>'Categories'!A2:A12</formula1>
    </dataValidation>
    <dataValidation type="list" sqref="E36" allowBlank="true" errorStyle="stop">
      <formula1>'Categories'!A2:A12</formula1>
    </dataValidation>
    <dataValidation type="list" sqref="E37" allowBlank="true" errorStyle="stop">
      <formula1>'Categories'!A2:A12</formula1>
    </dataValidation>
    <dataValidation type="list" sqref="E38" allowBlank="true" errorStyle="stop">
      <formula1>'Categories'!A2:A12</formula1>
    </dataValidation>
    <dataValidation type="list" sqref="E39" allowBlank="true" errorStyle="stop">
      <formula1>'Categories'!A2:A12</formula1>
    </dataValidation>
    <dataValidation type="list" sqref="E40" allowBlank="true" errorStyle="stop">
      <formula1>'Categories'!A2:A12</formula1>
    </dataValidation>
    <dataValidation type="list" sqref="E41" allowBlank="true" errorStyle="stop">
      <formula1>'Categories'!A2:A12</formula1>
    </dataValidation>
    <dataValidation type="list" sqref="E42" allowBlank="true" errorStyle="stop">
      <formula1>'Categories'!A2:A12</formula1>
    </dataValidation>
    <dataValidation type="list" sqref="E43" allowBlank="true" errorStyle="stop">
      <formula1>'Categories'!A2:A12</formula1>
    </dataValidation>
    <dataValidation type="list" sqref="E44" allowBlank="true" errorStyle="stop">
      <formula1>'Categories'!A2:A12</formula1>
    </dataValidation>
    <dataValidation type="list" sqref="E45" allowBlank="true" errorStyle="stop">
      <formula1>'Categories'!A2:A20</formula1>
    </dataValidation>
    <dataValidation type="list" sqref="E46" allowBlank="true" errorStyle="stop">
      <formula1>'Categories'!A2:A20</formula1>
    </dataValidation>
    <dataValidation type="list" sqref="E47" allowBlank="true" errorStyle="stop">
      <formula1>'Categories'!A2:A20</formula1>
    </dataValidation>
    <dataValidation type="list" sqref="E48" allowBlank="true" errorStyle="stop">
      <formula1>'Categories'!A2:A20</formula1>
    </dataValidation>
    <dataValidation type="list" sqref="E49" allowBlank="true" errorStyle="stop">
      <formula1>'Categories'!A2:A20</formula1>
    </dataValidation>
    <dataValidation type="list" sqref="E50" allowBlank="true" errorStyle="stop">
      <formula1>'Categories'!A2:A20</formula1>
    </dataValidation>
    <dataValidation type="list" sqref="E51" allowBlank="true" errorStyle="stop">
      <formula1>'Categories'!A2:A20</formula1>
    </dataValidation>
    <dataValidation type="list" sqref="E52" allowBlank="true" errorStyle="stop">
      <formula1>'Categories'!A2:A20</formula1>
    </dataValidation>
    <dataValidation type="list" sqref="E53" allowBlank="true" errorStyle="stop">
      <formula1>'Categories'!A2:A20</formula1>
    </dataValidation>
    <dataValidation type="list" sqref="E54" allowBlank="true" errorStyle="stop">
      <formula1>'Categories'!A2:A20</formula1>
    </dataValidation>
    <dataValidation type="list" sqref="E55" allowBlank="true" errorStyle="stop">
      <formula1>'Categories'!A2:A20</formula1>
    </dataValidation>
    <dataValidation type="list" sqref="E56" allowBlank="true" errorStyle="stop">
      <formula1>'Categories'!A2:A20</formula1>
    </dataValidation>
    <dataValidation type="list" sqref="E57" allowBlank="true" errorStyle="stop">
      <formula1>'Categories'!A2:A20</formula1>
    </dataValidation>
    <dataValidation type="list" sqref="E58" allowBlank="true" errorStyle="stop">
      <formula1>'Categories'!A2:A20</formula1>
    </dataValidation>
    <dataValidation type="list" sqref="E59" allowBlank="true" errorStyle="stop">
      <formula1>'Categories'!A2:A20</formula1>
    </dataValidation>
    <dataValidation type="list" sqref="E60" allowBlank="true" errorStyle="stop">
      <formula1>'Categories'!A2:A20</formula1>
    </dataValidation>
    <dataValidation type="list" sqref="E61" allowBlank="true" errorStyle="stop">
      <formula1>'Categories'!A2:A20</formula1>
    </dataValidation>
    <dataValidation type="list" sqref="E62" allowBlank="true" errorStyle="stop">
      <formula1>'Categories'!A2:A20</formula1>
    </dataValidation>
    <dataValidation type="list" sqref="E63" allowBlank="true" errorStyle="stop">
      <formula1>'Categories'!A2:A20</formula1>
    </dataValidation>
    <dataValidation type="list" sqref="E64" allowBlank="true" errorStyle="stop">
      <formula1>'Categories'!A2:A20</formula1>
    </dataValidation>
    <dataValidation type="list" sqref="E65" allowBlank="true" errorStyle="stop">
      <formula1>'Categories'!A2:A20</formula1>
    </dataValidation>
    <dataValidation type="list" sqref="E66" allowBlank="true" errorStyle="stop">
      <formula1>'Categories'!A2:A20</formula1>
    </dataValidation>
    <dataValidation type="list" sqref="E67" allowBlank="true" errorStyle="stop">
      <formula1>'Categories'!A2:A20</formula1>
    </dataValidation>
    <dataValidation type="list" sqref="E68" allowBlank="true" errorStyle="stop">
      <formula1>'Categories'!A2:A20</formula1>
    </dataValidation>
    <dataValidation type="list" sqref="E69" allowBlank="true" errorStyle="stop">
      <formula1>'Categories'!A2:A20</formula1>
    </dataValidation>
    <dataValidation type="list" sqref="E70" allowBlank="true" errorStyle="stop">
      <formula1>'Categories'!A2:A20</formula1>
    </dataValidation>
    <dataValidation type="list" sqref="E71" allowBlank="true" errorStyle="stop">
      <formula1>'Categories'!A2:A20</formula1>
    </dataValidation>
    <dataValidation type="list" sqref="E72" allowBlank="true" errorStyle="stop">
      <formula1>'Categories'!A2:A20</formula1>
    </dataValidation>
    <dataValidation type="list" sqref="E73" allowBlank="true" errorStyle="stop">
      <formula1>'Categories'!A2:A20</formula1>
    </dataValidation>
    <dataValidation type="list" sqref="E74" allowBlank="true" errorStyle="stop">
      <formula1>'Categories'!A2:A20</formula1>
    </dataValidation>
    <dataValidation type="list" sqref="E75" allowBlank="true" errorStyle="stop">
      <formula1>'Categories'!A2:A20</formula1>
    </dataValidation>
    <dataValidation type="list" sqref="E76" allowBlank="true" errorStyle="stop">
      <formula1>'Categories'!A2:A20</formula1>
    </dataValidation>
    <dataValidation type="list" sqref="E77" allowBlank="true" errorStyle="stop">
      <formula1>'Categories'!A2:A20</formula1>
    </dataValidation>
    <dataValidation type="list" sqref="E78" allowBlank="true" errorStyle="stop">
      <formula1>'Categories'!A2:A20</formula1>
    </dataValidation>
    <dataValidation type="list" sqref="E79" allowBlank="true" errorStyle="stop">
      <formula1>'Categories'!A2:A20</formula1>
    </dataValidation>
    <dataValidation type="list" sqref="E80" allowBlank="true" errorStyle="stop">
      <formula1>'Categories'!A2:A20</formula1>
    </dataValidation>
    <dataValidation type="list" sqref="E81" allowBlank="true" errorStyle="stop">
      <formula1>'Categories'!A2:A20</formula1>
    </dataValidation>
    <dataValidation type="list" sqref="E82" allowBlank="true" errorStyle="stop">
      <formula1>'Categories'!A2:A20</formula1>
    </dataValidation>
    <dataValidation type="list" sqref="E83" allowBlank="true" errorStyle="stop">
      <formula1>'Categories'!A2:A20</formula1>
    </dataValidation>
    <dataValidation type="list" sqref="E84" allowBlank="true" errorStyle="stop">
      <formula1>'Categories'!A2:A20</formula1>
    </dataValidation>
    <dataValidation type="list" sqref="E85" allowBlank="true" errorStyle="stop">
      <formula1>'Categories'!A2:A20</formula1>
    </dataValidation>
    <dataValidation type="list" sqref="E86" allowBlank="true" errorStyle="stop">
      <formula1>'Categories'!A2:A20</formula1>
    </dataValidation>
    <dataValidation type="list" sqref="E87" allowBlank="true" errorStyle="stop">
      <formula1>'Categories'!A2:A20</formula1>
    </dataValidation>
    <dataValidation type="list" sqref="E88" allowBlank="true" errorStyle="stop">
      <formula1>'Categories'!A2:A20</formula1>
    </dataValidation>
    <dataValidation type="list" sqref="E89" allowBlank="true" errorStyle="stop">
      <formula1>'Categories'!A2:A20</formula1>
    </dataValidation>
    <dataValidation type="list" sqref="E90" allowBlank="true" errorStyle="stop">
      <formula1>'Categories'!A2:A20</formula1>
    </dataValidation>
    <dataValidation type="list" sqref="E91" allowBlank="true" errorStyle="stop">
      <formula1>'Categories'!A2:A20</formula1>
    </dataValidation>
    <dataValidation type="list" sqref="E92" allowBlank="true" errorStyle="stop">
      <formula1>'Categories'!A2:A20</formula1>
    </dataValidation>
    <dataValidation type="list" sqref="E93" allowBlank="true" errorStyle="stop">
      <formula1>'Categories'!A2:A20</formula1>
    </dataValidation>
    <dataValidation type="list" sqref="E94" allowBlank="true" errorStyle="stop">
      <formula1>'Categories'!A2:A12</formula1>
    </dataValidation>
    <dataValidation type="list" sqref="E95" allowBlank="true" errorStyle="stop">
      <formula1>'Categories'!A2:A12</formula1>
    </dataValidation>
    <dataValidation type="list" sqref="E96" allowBlank="true" errorStyle="stop">
      <formula1>'Categories'!A2:A12</formula1>
    </dataValidation>
    <dataValidation type="list" sqref="E97" allowBlank="true" errorStyle="stop">
      <formula1>'Categories'!A2:A12</formula1>
    </dataValidation>
    <dataValidation type="list" sqref="E98" allowBlank="true" errorStyle="stop">
      <formula1>'Categories'!A2:A12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29"/>
  <sheetViews>
    <sheetView workbookViewId="0"/>
  </sheetViews>
  <sheetFormatPr defaultRowHeight="15.0"/>
  <cols>
    <col min="5" max="5" width="22.99609375" customWidth="true"/>
    <col min="2" max="2" width="19.28125" customWidth="true"/>
    <col min="7" max="7" width="16.7109375" customWidth="true"/>
    <col min="8" max="8" width="12.28125" customWidth="true"/>
    <col min="9" max="9" width="12.28125" customWidth="true"/>
    <col min="10" max="10" width="12.28125" customWidth="true"/>
    <col min="11" max="11" width="12.28125" customWidth="true"/>
    <col min="12" max="12" width="12.28125" customWidth="true"/>
    <col min="13" max="13" width="12.28125" customWidth="true"/>
    <col min="14" max="14" width="12.28125" customWidth="true"/>
    <col min="15" max="15" width="12.28125" customWidth="true"/>
    <col min="16" max="16" width="12.28125" customWidth="true"/>
    <col min="17" max="17" width="12.28125" customWidth="true"/>
    <col min="18" max="18" width="12.28125" customWidth="true"/>
    <col min="19" max="19" width="12.28125" customWidth="true"/>
    <col min="20" max="20" width="23.28125" customWidth="true"/>
    <col min="1" max="1" width="20.13671875" customWidth="true"/>
    <col min="3" max="3" width="25.8515625" customWidth="true"/>
    <col min="6" max="6" width="12.140625" customWidth="true"/>
    <col min="21" max="21" width="23.28125" customWidth="true"/>
  </cols>
  <sheetData>
    <row r="1">
      <c r="A1" t="s" s="13">
        <v>91</v>
      </c>
      <c r="B1" t="s" s="13">
        <v>92</v>
      </c>
      <c r="C1" t="s" s="13">
        <v>93</v>
      </c>
      <c r="D1" t="s" s="13">
        <v>3</v>
      </c>
      <c r="E1" t="s" s="13">
        <v>5</v>
      </c>
      <c r="F1" t="s" s="13">
        <v>94</v>
      </c>
      <c r="G1" t="s" s="14">
        <f>IFERROR(ROWSDUMMYFUNCTION(AUTOFILL("Repayment 1",IFS($F2="bi-weekly",$A2+CEILING(('13-week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Forecast'!$B$1,"y")+1),1)+COLUMN()-7,MONTH($A2),DAY($A2)),TRUE,""))),"Repayment 1")</f>
        <v>95</v>
      </c>
      <c r="H1" t="s" s="14">
        <f>IFERROR(ROWSDUMMYFUNCTION(AUTOFILL(CONCATENATE("Repayment ",SLICE(G1,"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2")</f>
        <v>96</v>
      </c>
      <c r="I1" t="s" s="15">
        <f>IFERROR(ROWSDUMMYFUNCTION(AUTOFILL(CONCATENATE("Repayment ",SLICE(H1,"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3")</f>
        <v>97</v>
      </c>
      <c r="J1" t="s" s="15">
        <f>IFERROR(ROWSDUMMYFUNCTION(AUTOFILL(CONCATENATE("Repayment ",SLICE(I1,"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4")</f>
        <v>98</v>
      </c>
      <c r="K1" t="s" s="15">
        <f>IFERROR(ROWSDUMMYFUNCTION(AUTOFILL(CONCATENATE("Repayment ",SLICE(J1,"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5")</f>
        <v>99</v>
      </c>
      <c r="L1" t="s" s="15">
        <f>IFERROR(ROWSDUMMYFUNCTION(AUTOFILL(CONCATENATE("Repayment ",SLICE(K1,"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6")</f>
        <v>100</v>
      </c>
      <c r="M1" t="s" s="15">
        <f>IFERROR(ROWSDUMMYFUNCTION(AUTOFILL(CONCATENATE("Repayment ",SLICE(L1,"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7")</f>
        <v>101</v>
      </c>
      <c r="N1" t="s" s="15">
        <f>IFERROR(ROWSDUMMYFUNCTION(AUTOFILL(CONCATENATE("Repayment ",SLICE(M1,"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8")</f>
        <v>102</v>
      </c>
      <c r="O1" t="s" s="15">
        <f>IFERROR(ROWSDUMMYFUNCTION(AUTOFILL(CONCATENATE("Repayment ",SLICE(N1,"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9")</f>
        <v>103</v>
      </c>
      <c r="P1" t="s" s="15">
        <f>IFERROR(ROWSDUMMYFUNCTION(AUTOFILL(CONCATENATE("Repayment ",SLICE(O1,"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10")</f>
        <v>104</v>
      </c>
      <c r="Q1" t="s" s="15">
        <f>IFERROR(ROWSDUMMYFUNCTION(AUTOFILL(CONCATENATE("Repayment ",SLICE(P1,"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11")</f>
        <v>105</v>
      </c>
      <c r="R1" t="s" s="15">
        <f>IFERROR(ROWSDUMMYFUNCTION(AUTOFILL(CONCATENATE("Repayment ",SLICE(Q1,"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12")</f>
        <v>106</v>
      </c>
      <c r="S1" t="s" s="15">
        <f>IFERROR(ROWSDUMMYFUNCTION(AUTOFILL(CONCATENATE("Repayment ",SLICE(R1," ",2)+1),IFS($F2="bi-weekly",$A2+CEILING(('13-week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Forecast'!$B$1,"y")+1),1)+COLUMN()-7,MONTH($A2),DAY($A2)),TRUE,""),1)),"Repayment 13")</f>
        <v>107</v>
      </c>
      <c r="T1" t="s" s="14">
        <f>IFERROR(ROWSDUMMYFUNCTION(AUTOFILL("Repayment Schedule",UNNEST(PAIR2JSON('Recurring Transactions'!$A$1,'Recurring Transactions'!A2,'Recurring Transactions'!$B$1,'Recurring Transactions'!B2,'Recurring Transactions'!$C$1,'Recurring Transactions'!C2,'Recurring Transactions'!$D$1,'Recurring Transactions'!D2,'Recurring Transactions'!$E$1,'Recurring Transactions'!E2,'Recurring Transactions'!$F$1,'Recurring Transactions'!F2,"Payment schedule",VALUE(RANGE2JSON('Recurring Transactions'!F2,'Recurring Transactions'!G2:S2)))),1)),"Repayment Schedule")</f>
        <v>108</v>
      </c>
      <c r="U1" t="s" s="14">
        <v>109</v>
      </c>
    </row>
    <row r="2">
      <c r="A2" t="n" s="16">
        <v>45658.0</v>
      </c>
      <c r="B2" t="s" s="1">
        <v>110</v>
      </c>
      <c r="C2" t="s" s="1">
        <v>110</v>
      </c>
      <c r="D2" t="n" s="17">
        <v>10056.0</v>
      </c>
      <c r="E2" t="s" s="1">
        <v>26</v>
      </c>
      <c r="F2" t="s" s="1">
        <v>111</v>
      </c>
      <c r="G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45839.0</v>
      </c>
      <c r="H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45870.0</v>
      </c>
      <c r="I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45901.0</v>
      </c>
      <c r="J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45931.0</v>
      </c>
      <c r="K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45962.0</v>
      </c>
      <c r="L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45992.0</v>
      </c>
      <c r="M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46023.0</v>
      </c>
      <c r="N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46054.0</v>
      </c>
      <c r="O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46082.0</v>
      </c>
      <c r="P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46113.0</v>
      </c>
      <c r="Q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46143.0</v>
      </c>
      <c r="R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46174.0</v>
      </c>
      <c r="S2" t="n" s="16">
        <f>IFS($F2="bi-weekly",$A2+CEILING(('13-week CF Forecast'!$B$1-$A2)/14,1)*14+14*(COLUMN()-7),$F2="weekly",$A2+CEILING(('13-week CF Forecast'!$B$1-$A2)/7,1)*7+7*(COLUMN()-7),$F2="monthly",DATE(YEAR($A2),MONTH($A2)+CEILING(DATEDIF($A2,'13-week CF Forecast'!$B$1,"m")+1,1)+COLUMN()-7,DAY($A2)),$F2="quarterly",DATE(YEAR($A2),MONTH($A2)+3*CEILING((DATEDIF($A2,'13-week CF Forecast'!$B$1,"m")+1)/3,1)+(COLUMN()-7)*3,DAY($A2)),$F2="yearly",DATE(YEAR($A2)+CEILING((DATEDIF($A2,'13-week CF Forecast'!$B$1,"y")+1),1)+COLUMN()-7,MONTH($A2),DAY($A2)),TRUE,"")</f>
        <v>46204.0</v>
      </c>
      <c r="T2" t="s" s="1">
        <f><![CDATA[IFERROR(ROWSDUMMYFUNCTION(UNNEST(PAIR2JSON('Recurring Transactions'!$A$1,'Recurring Transactions'!A2,'Recurring Transactions'!$B$1,'Recurring Transactions'!B2,'Recurring Transactions'!$C$1,'Recurring Transactions'!C2,'Recurring Transactions'!$D$1,'Recurring Transactions'!D2,'Recurring Transactions'!$E$1,'Recurring Transactions'!E2,'Recurring Transactions'!$F$1,'Recurring Transactions'!F2,"Payment schedule",VALUE(RANGE2JSON('Recurring Transactions'!F2,'Recurring Transactions'!G2:S2))))),"[{""First payment date"":""2025-01-01"",""Counterparty"":""Rent"",""Description"":""Rent"",""Amount"":""$10056"",""Category"":""Overhead Expenditures"",""Frequency"":""monthly"",""Payment schedule_0"":""2025-07-01""},{""First payment date"":""2025-01-01"",""Counterparty"":""Rent"",""Descript"&"ion"":""Rent"",""Amount"":""$10056"",""Category"":""Overhead Expenditures"",""Frequency"":""monthly"",""Payment schedule_0"":""2025-08-01""},{""First payment date"":""2025-01-01"",""Counterparty"":""Rent"",""Description"":""Rent"",""Amount"":""$10056"",""Category"":""Overhead Expenditures"",""F"&"requency"":""monthly"",""Payment schedule_0"":""2025-09-01""},{""First payment date"":""2025-01-01"",""Counterparty"":""Rent"",""Description"":""Rent"",""Amount"":""$10056"",""Category"":""Overhead Expenditures"",""Frequency"":""monthly"",""Payment schedule_0"":""2025-10-01""},{""First paym"&"ent date"":""2025-01-01"",""Counterparty"":""Rent"",""Description"":""Rent"",""Amount"":""$10056"",""Category"":""Overhead Expenditures"",""Frequency"":""monthly"",""Payment schedule_0"":""2025-11-01""},{""First payment date"":""2025-01-01"",""Counterparty"":""Rent"",""Description"":""Rent"","""&"Amount"":""$10056"",""Category"":""Overhead Expenditures"",""Frequency"":""monthly"",""Payment schedule_0"":""2025-12-01""},{""First payment date"":""2025-01-01"",""Counterparty"":""Rent"",""Description"":""Rent"",""Amount"":""$10056"",""Category"":""Overhead Expenditures"",""Frequency"":""mo"&"nthly"",""Payment schedule_0"":""2026-01-01""},{""First payment date"":""2025-01-01"",""Counterparty"":""Rent"",""Description"":""Rent"",""Amount"":""$10056"",""Category"":""Overhead Expenditures"",""Frequency"":""monthly"",""Payment schedule_0"":""2026-02-01""},{""First payment date"":""20"&"25-01-01"",""Counterparty"":""Rent"",""Description"":""Rent"",""Amount"":""$10056"",""Category"":""Overhead Expenditures"",""Frequency"":""monthly"",""Payment schedule_0"":""2026-03-01""},{""First payment date"":""2025-01-01"",""Counterparty"":""Rent"",""Description"":""Rent"",""Amount"":""$100"&"56"",""Category"":""Overhead Expenditures"",""Frequency"":""monthly"",""Payment schedule_0"":""2026-04-01""},{""First payment date"":""2025-01-01"",""Counterparty"":""Rent"",""Description"":""Rent"",""Amount"":""$10056"",""Category"":""Overhead Expenditures"",""Frequency"":""monthly"",""Payme"&"nt schedule_0"":""2026-05-01""},{""First payment date"":""2025-01-01"",""Counterparty"":""Rent"",""Description"":""Rent"",""Amount"":""$10056"",""Category"":""Overhead Expenditures"",""Frequency"":""monthly"",""Payment schedule_0"":""2026-06-01""},{""First payment date"":""2025-01-01"",""Co"&"unterparty"":""Rent"",""Description"":""Rent"",""Amount"":""$10056"",""Category"":""Overhead Expenditures"",""Frequency"":""monthly"",""Payment schedule_0"":""2026-07-01""}]")]]></f>
        <v>112</v>
      </c>
      <c r="U2" t="s" s="1">
        <v>113</v>
      </c>
    </row>
    <row r="3">
      <c r="A3" t="n" s="16">
        <v>45658.0</v>
      </c>
      <c r="B3" t="s" s="1">
        <v>114</v>
      </c>
      <c r="C3" t="s" s="1">
        <v>114</v>
      </c>
      <c r="D3" t="n" s="17">
        <v>3056.37</v>
      </c>
      <c r="E3" t="s" s="1">
        <v>26</v>
      </c>
      <c r="F3" t="s" s="1">
        <v>111</v>
      </c>
      <c r="G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45839.0</v>
      </c>
      <c r="H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45870.0</v>
      </c>
      <c r="I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45901.0</v>
      </c>
      <c r="J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45931.0</v>
      </c>
      <c r="K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45962.0</v>
      </c>
      <c r="L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45992.0</v>
      </c>
      <c r="M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46023.0</v>
      </c>
      <c r="N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46054.0</v>
      </c>
      <c r="O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46082.0</v>
      </c>
      <c r="P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46113.0</v>
      </c>
      <c r="Q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46143.0</v>
      </c>
      <c r="R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46174.0</v>
      </c>
      <c r="S3" t="n" s="16">
        <f>IFS($F3="bi-weekly",$A3+CEILING(('13-week CF Forecast'!$B$1-$A3)/14,1)*14+14*(COLUMN()-7),$F3="weekly",$A3+CEILING(('13-week CF Forecast'!$B$1-$A3)/7,1)*7+7*(COLUMN()-7),$F3="monthly",DATE(YEAR($A3),MONTH($A3)+CEILING(DATEDIF($A3,'13-week CF Forecast'!$B$1,"m")+1,1)+COLUMN()-7,DAY($A3)),$F3="quarterly",DATE(YEAR($A3),MONTH($A3)+3*CEILING((DATEDIF($A3,'13-week CF Forecast'!$B$1,"m")+1)/3,1)+(COLUMN()-7)*3,DAY($A3)),$F3="yearly",DATE(YEAR($A3)+CEILING((DATEDIF($A3,'13-week CF Forecast'!$B$1,"y")+1),1)+COLUMN()-7,MONTH($A3),DAY($A3)),TRUE,"")</f>
        <v>46204.0</v>
      </c>
      <c r="T3" t="s" s="1">
        <f><![CDATA[IFERROR(ROWSDUMMYFUNCTION(UNNEST(PAIR2JSON('Recurring Transactions'!$A$1,'Recurring Transactions'!A3,'Recurring Transactions'!$B$1,'Recurring Transactions'!B3,'Recurring Transactions'!$C$1,'Recurring Transactions'!C3,'Recurring Transactions'!$D$1,'Recurring Transactions'!D3,'Recurring Transactions'!$E$1,'Recurring Transactions'!E3,'Recurring Transactions'!$F$1,'Recurring Transactions'!F3,"Payment schedule",VALUE(RANGE2JSON('Recurring Transactions'!F3,'Recurring Transactions'!G3:S3))))),"[{""First payment date"":""2025-01-01"",""Counterparty"":""Sublease"",""Description"":""Sublease"",""Amount"":""$3056.37"",""Category"":""Overhead Expenditures"",""Frequency"":""monthly"",""Payment schedule_0"":""2025-07-01""},{""First payment date"":""2025-01-01"",""Counterparty"":""Suble"&"ase"",""Description"":""Sublease"",""Amount"":""$3056.37"",""Category"":""Overhead Expenditures"",""Frequency"":""monthly"",""Payment schedule_0"":""2025-08-01""},{""First payment date"":""2025-01-01"",""Counterparty"":""Sublease"",""Description"":""Sublease"",""Amount"":""$3056.37"",""Catego"&"ry"":""Overhead Expenditures"",""Frequency"":""monthly"",""Payment schedule_0"":""2025-09-01""},{""First payment date"":""2025-01-01"",""Counterparty"":""Sublease"",""Description"":""Sublease"",""Amount"":""$3056.37"",""Category"":""Overhead Expenditures"",""Frequency"":""monthly"",""Paymen"&"t schedule_0"":""2025-10-01""},{""First payment date"":""2025-01-01"",""Counterparty"":""Sublease"",""Description"":""Sublease"",""Amount"":""$3056.37"",""Category"":""Overhead Expenditures"",""Frequency"":""monthly"",""Payment schedule_0"":""2025-11-01""},{""First payment date"":""2025-0"&"1-01"",""Counterparty"":""Sublease"",""Description"":""Sublease"",""Amount"":""$3056.37"",""Category"":""Overhead Expenditures"",""Frequency"":""monthly"",""Payment schedule_0"":""2025-12-01""},{""First payment date"":""2025-01-01"",""Counterparty"":""Sublease"",""Description"":""Sublease"","&"""Amount"":""$3056.37"",""Category"":""Overhead Expenditures"",""Frequency"":""monthly"",""Payment schedule_0"":""2026-01-01""},{""First payment date"":""2025-01-01"",""Counterparty"":""Sublease"",""Description"":""Sublease"",""Amount"":""$3056.37"",""Category"":""Overhead Expenditures"",""F"&"requency"":""monthly"",""Payment schedule_0"":""2026-02-01""},{""First payment date"":""2025-01-01"",""Counterparty"":""Sublease"",""Description"":""Sublease"",""Amount"":""$3056.37"",""Category"":""Overhead Expenditures"",""Frequency"":""monthly"",""Payment schedule_0"":""2026-03-01""},{"""&"First payment date"":""2025-01-01"",""Counterparty"":""Sublease"",""Description"":""Sublease"",""Amount"":""$3056.37"",""Category"":""Overhead Expenditures"",""Frequency"":""monthly"",""Payment schedule_0"":""2026-04-01""},{""First payment date"":""2025-01-01"",""Counterparty"":""Sublease"&""",""Description"":""Sublease"",""Amount"":""$3056.37"",""Category"":""Overhead Expenditures"",""Frequency"":""monthly"",""Payment schedule_0"":""2026-05-01""},{""First payment date"":""2025-01-01"",""Counterparty"":""Sublease"",""Description"":""Sublease"",""Amount"":""$3056.37"",""Category"""&":""Overhead Expenditures"",""Frequency"":""monthly"",""Payment schedule_0"":""2026-06-01""},{""First payment date"":""2025-01-01"",""Counterparty"":""Sublease"",""Description"":""Sublease"",""Amount"":""$3056.37"",""Category"":""Overhead Expenditures"",""Frequency"":""monthly"",""Payment s"&"chedule_0"":""2026-07-01""}]")]]></f>
        <v>115</v>
      </c>
      <c r="U3" t="s" s="1">
        <v>113</v>
      </c>
    </row>
    <row r="4" ht="12.0" customHeight="true">
      <c r="A4" t="n" s="16">
        <v>45658.0</v>
      </c>
      <c r="B4" t="s" s="1">
        <v>116</v>
      </c>
      <c r="C4" t="s" s="1">
        <v>116</v>
      </c>
      <c r="D4" t="n" s="17">
        <v>5000.0</v>
      </c>
      <c r="E4" t="s" s="1">
        <v>26</v>
      </c>
      <c r="F4" t="s" s="1">
        <v>111</v>
      </c>
      <c r="G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45839.0</v>
      </c>
      <c r="H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45870.0</v>
      </c>
      <c r="I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45901.0</v>
      </c>
      <c r="J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45931.0</v>
      </c>
      <c r="K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45962.0</v>
      </c>
      <c r="L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45992.0</v>
      </c>
      <c r="M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46023.0</v>
      </c>
      <c r="N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46054.0</v>
      </c>
      <c r="O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46082.0</v>
      </c>
      <c r="P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46113.0</v>
      </c>
      <c r="Q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46143.0</v>
      </c>
      <c r="R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46174.0</v>
      </c>
      <c r="S4" t="n" s="16">
        <f>IFS($F4="bi-weekly",$A4+CEILING(('13-week CF Forecast'!$B$1-$A4)/14,1)*14+14*(COLUMN()-7),$F4="weekly",$A4+CEILING(('13-week CF Forecast'!$B$1-$A4)/7,1)*7+7*(COLUMN()-7),$F4="monthly",DATE(YEAR($A4),MONTH($A4)+CEILING(DATEDIF($A4,'13-week CF Forecast'!$B$1,"m")+1,1)+COLUMN()-7,DAY($A4)),$F4="quarterly",DATE(YEAR($A4),MONTH($A4)+3*CEILING((DATEDIF($A4,'13-week CF Forecast'!$B$1,"m")+1)/3,1)+(COLUMN()-7)*3,DAY($A4)),$F4="yearly",DATE(YEAR($A4)+CEILING((DATEDIF($A4,'13-week CF Forecast'!$B$1,"y")+1),1)+COLUMN()-7,MONTH($A4),DAY($A4)),TRUE,"")</f>
        <v>46204.0</v>
      </c>
      <c r="T4" t="s" s="1">
        <f><![CDATA[IFERROR(ROWSDUMMYFUNCTION(UNNEST(PAIR2JSON('Recurring Transactions'!$A$1,'Recurring Transactions'!A4,'Recurring Transactions'!$B$1,'Recurring Transactions'!B4,'Recurring Transactions'!$C$1,'Recurring Transactions'!C4,'Recurring Transactions'!$D$1,'Recurring Transactions'!D4,'Recurring Transactions'!$E$1,'Recurring Transactions'!E4,'Recurring Transactions'!$F$1,'Recurring Transactions'!F4,"Payment schedule",VALUE(RANGE2JSON('Recurring Transactions'!F4,'Recurring Transactions'!G4:S4))))),"[{""First payment date"":""2025-01-01"",""Counterparty"":""Dalton"",""Description"":""Dalton"",""Amount"":""$5000"",""Category"":""Overhead Expenditures"",""Frequency"":""monthly"",""Payment schedule_0"":""2025-07-01""},{""First payment date"":""2025-01-01"",""Counterparty"":""Dalton"",""Des"&"cription"":""Dalton"",""Amount"":""$5000"",""Category"":""Overhead Expenditures"",""Frequency"":""monthly"",""Payment schedule_0"":""2025-08-01""},{""First payment date"":""2025-01-01"",""Counterparty"":""Dalton"",""Description"":""Dalton"",""Amount"":""$5000"",""Category"":""Overhead Expendi"&"tures"",""Frequency"":""monthly"",""Payment schedule_0"":""2025-09-01""},{""First payment date"":""2025-01-01"",""Counterparty"":""Dalton"",""Description"":""Dalton"",""Amount"":""$5000"",""Category"":""Overhead Expenditures"",""Frequency"":""monthly"",""Payment schedule_0"":""2025-10-01""},"&"{""First payment date"":""2025-01-01"",""Counterparty"":""Dalton"",""Description"":""Dalton"",""Amount"":""$5000"",""Category"":""Overhead Expenditures"",""Frequency"":""monthly"",""Payment schedule_0"":""2025-11-01""},{""First payment date"":""2025-01-01"",""Counterparty"":""Dalton"",""Desc"&"ription"":""Dalton"",""Amount"":""$5000"",""Category"":""Overhead Expenditures"",""Frequency"":""monthly"",""Payment schedule_0"":""2025-12-01""},{""First payment date"":""2025-01-01"",""Counterparty"":""Dalton"",""Description"":""Dalton"",""Amount"":""$5000"",""Category"":""Overhead Expendit"&"ures"",""Frequency"":""monthly"",""Payment schedule_0"":""2026-01-01""},{""First payment date"":""2025-01-01"",""Counterparty"":""Dalton"",""Description"":""Dalton"",""Amount"":""$5000"",""Category"":""Overhead Expenditures"",""Frequency"":""monthly"",""Payment schedule_0"":""2026-02-01""},{"&"""First payment date"":""2025-01-01"",""Counterparty"":""Dalton"",""Description"":""Dalton"",""Amount"":""$5000"",""Category"":""Overhead Expenditures"",""Frequency"":""monthly"",""Payment schedule_0"":""2026-03-01""},{""First payment date"":""2025-01-01"",""Counterparty"":""Dalton"",""Descr"&"iption"":""Dalton"",""Amount"":""$5000"",""Category"":""Overhead Expenditures"",""Frequency"":""monthly"",""Payment schedule_0"":""2026-04-01""},{""First payment date"":""2025-01-01"",""Counterparty"":""Dalton"",""Description"":""Dalton"",""Amount"":""$5000"",""Category"":""Overhead Expenditu"&"res"",""Frequency"":""monthly"",""Payment schedule_0"":""2026-05-01""},{""First payment date"":""2025-01-01"",""Counterparty"":""Dalton"",""Description"":""Dalton"",""Amount"":""$5000"",""Category"":""Overhead Expenditures"",""Frequency"":""monthly"",""Payment schedule_0"":""2026-06-01""},{"""&"First payment date"":""2025-01-01"",""Counterparty"":""Dalton"",""Description"":""Dalton"",""Amount"":""$5000"",""Category"":""Overhead Expenditures"",""Frequency"":""monthly"",""Payment schedule_0"":""2026-07-01""}]")]]></f>
        <v>117</v>
      </c>
      <c r="U4" t="s" s="1">
        <v>118</v>
      </c>
    </row>
    <row r="5" ht="12.0" customHeight="true">
      <c r="A5" t="n" s="16">
        <v>45658.0</v>
      </c>
      <c r="B5" t="s" s="1">
        <v>119</v>
      </c>
      <c r="C5" t="s" s="1">
        <v>119</v>
      </c>
      <c r="D5" t="n" s="17">
        <v>3500.0</v>
      </c>
      <c r="E5" t="s" s="1">
        <v>51</v>
      </c>
      <c r="F5" t="s" s="1">
        <v>111</v>
      </c>
      <c r="G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45839.0</v>
      </c>
      <c r="H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45870.0</v>
      </c>
      <c r="I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45901.0</v>
      </c>
      <c r="J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45931.0</v>
      </c>
      <c r="K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45962.0</v>
      </c>
      <c r="L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45992.0</v>
      </c>
      <c r="M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46023.0</v>
      </c>
      <c r="N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46054.0</v>
      </c>
      <c r="O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46082.0</v>
      </c>
      <c r="P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46113.0</v>
      </c>
      <c r="Q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46143.0</v>
      </c>
      <c r="R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46174.0</v>
      </c>
      <c r="S5" t="n" s="16">
        <f>IFS($F5="bi-weekly",$A5+CEILING(('13-week CF Forecast'!$B$1-$A5)/14,1)*14+14*(COLUMN()-7),$F5="weekly",$A5+CEILING(('13-week CF Forecast'!$B$1-$A5)/7,1)*7+7*(COLUMN()-7),$F5="monthly",DATE(YEAR($A5),MONTH($A5)+CEILING(DATEDIF($A5,'13-week CF Forecast'!$B$1,"m")+1,1)+COLUMN()-7,DAY($A5)),$F5="quarterly",DATE(YEAR($A5),MONTH($A5)+3*CEILING((DATEDIF($A5,'13-week CF Forecast'!$B$1,"m")+1)/3,1)+(COLUMN()-7)*3,DAY($A5)),$F5="yearly",DATE(YEAR($A5)+CEILING((DATEDIF($A5,'13-week CF Forecast'!$B$1,"y")+1),1)+COLUMN()-7,MONTH($A5),DAY($A5)),TRUE,"")</f>
        <v>46204.0</v>
      </c>
      <c r="T5" t="s" s="1">
        <f><![CDATA[IFERROR(ROWSDUMMYFUNCTION(UNNEST(PAIR2JSON('Recurring Transactions'!$A$1,'Recurring Transactions'!A5,'Recurring Transactions'!$B$1,'Recurring Transactions'!B5,'Recurring Transactions'!$C$1,'Recurring Transactions'!C5,'Recurring Transactions'!$D$1,'Recurring Transactions'!D5,'Recurring Transactions'!$E$1,'Recurring Transactions'!E5,'Recurring Transactions'!$F$1,'Recurring Transactions'!F5,"Payment schedule",VALUE(RANGE2JSON('Recurring Transactions'!F5,'Recurring Transactions'!G5:S5))))),"[{""First payment date"":""2025-01-01"",""Counterparty"":""Carrigan"",""Description"":""Carrigan"",""Amount"":""$3500"",""Category"":""Sales&Marketing Expenditures"",""Frequency"":""monthly"",""Payment schedule_0"":""2025-07-01""},{""First payment date"":""2025-01-01"",""Counterparty"":""C"&"arrigan"",""Description"":""Carrigan"",""Amount"":""$3500"",""Category"":""Sales&Marketing Expenditures"",""Frequency"":""monthly"",""Payment schedule_0"":""2025-08-01""},{""First payment date"":""2025-01-01"",""Counterparty"":""Carrigan"",""Description"":""Carrigan"",""Amount"":""$3500"",""C"&"ategory"":""Sales&Marketing Expenditures"",""Frequency"":""monthly"",""Payment schedule_0"":""2025-09-01""},{""First payment date"":""2025-01-01"",""Counterparty"":""Carrigan"",""Description"":""Carrigan"",""Amount"":""$3500"",""Category"":""Sales&Marketing Expenditures"",""Frequency"":"""&"monthly"",""Payment schedule_0"":""2025-10-01""},{""First payment date"":""2025-01-01"",""Counterparty"":""Carrigan"",""Description"":""Carrigan"",""Amount"":""$3500"",""Category"":""Sales&Marketing Expenditures"",""Frequency"":""monthly"",""Payment schedule_0"":""2025-11-01""},{""First p"&"ayment date"":""2025-01-01"",""Counterparty"":""Carrigan"",""Description"":""Carrigan"",""Amount"":""$3500"",""Category"":""Sales&Marketing Expenditures"",""Frequency"":""monthly"",""Payment schedule_0"":""2025-12-01""},{""First payment date"":""2025-01-01"",""Counterparty"":""Carrigan"","""&"Description"":""Carrigan"",""Amount"":""$3500"",""Category"":""Sales&Marketing Expenditures"",""Frequency"":""monthly"",""Payment schedule_0"":""2026-01-01""},{""First payment date"":""2025-01-01"",""Counterparty"":""Carrigan"",""Description"":""Carrigan"",""Amount"":""$3500"",""Category"":"""&"Sales&Marketing Expenditures"",""Frequency"":""monthly"",""Payment schedule_0"":""2026-02-01""},{""First payment date"":""2025-01-01"",""Counterparty"":""Carrigan"",""Description"":""Carrigan"",""Amount"":""$3500"",""Category"":""Sales&Marketing Expenditures"",""Frequency"":""monthly"","""&"Payment schedule_0"":""2026-03-01""},{""First payment date"":""2025-01-01"",""Counterparty"":""Carrigan"",""Description"":""Carrigan"",""Amount"":""$3500"",""Category"":""Sales&Marketing Expenditures"",""Frequency"":""monthly"",""Payment schedule_0"":""2026-04-01""},{""First payment dat"&"e"":""2025-01-01"",""Counterparty"":""Carrigan"",""Description"":""Carrigan"",""Amount"":""$3500"",""Category"":""Sales&Marketing Expenditures"",""Frequency"":""monthly"",""Payment schedule_0"":""2026-05-01""},{""First payment date"":""2025-01-01"",""Counterparty"":""Carrigan"",""Descriptio"&"n"":""Carrigan"",""Amount"":""$3500"",""Category"":""Sales&Marketing Expenditures"",""Frequency"":""monthly"",""Payment schedule_0"":""2026-06-01""},{""First payment date"":""2025-01-01"",""Counterparty"":""Carrigan"",""Description"":""Carrigan"",""Amount"":""$3500"",""Category"":""Sales&Mark"&"eting Expenditures"",""Frequency"":""monthly"",""Payment schedule_0"":""2026-07-01""}]")]]></f>
        <v>120</v>
      </c>
      <c r="U5" t="s" s="1">
        <v>118</v>
      </c>
    </row>
    <row r="6" ht="12.0" customHeight="true">
      <c r="A6" t="n" s="16">
        <v>45658.0</v>
      </c>
      <c r="B6" t="s" s="1">
        <v>121</v>
      </c>
      <c r="C6" t="s" s="1">
        <v>121</v>
      </c>
      <c r="D6" t="n" s="17">
        <v>4000.0</v>
      </c>
      <c r="E6" t="s" s="1">
        <v>51</v>
      </c>
      <c r="F6" t="s" s="1">
        <v>111</v>
      </c>
      <c r="G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45839.0</v>
      </c>
      <c r="H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45870.0</v>
      </c>
      <c r="I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45901.0</v>
      </c>
      <c r="J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45931.0</v>
      </c>
      <c r="K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45962.0</v>
      </c>
      <c r="L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45992.0</v>
      </c>
      <c r="M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46023.0</v>
      </c>
      <c r="N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46054.0</v>
      </c>
      <c r="O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46082.0</v>
      </c>
      <c r="P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46113.0</v>
      </c>
      <c r="Q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46143.0</v>
      </c>
      <c r="R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46174.0</v>
      </c>
      <c r="S6" t="n" s="16">
        <f>IFS($F6="bi-weekly",$A6+CEILING(('13-week CF Forecast'!$B$1-$A6)/14,1)*14+14*(COLUMN()-7),$F6="weekly",$A6+CEILING(('13-week CF Forecast'!$B$1-$A6)/7,1)*7+7*(COLUMN()-7),$F6="monthly",DATE(YEAR($A6),MONTH($A6)+CEILING(DATEDIF($A6,'13-week CF Forecast'!$B$1,"m")+1,1)+COLUMN()-7,DAY($A6)),$F6="quarterly",DATE(YEAR($A6),MONTH($A6)+3*CEILING((DATEDIF($A6,'13-week CF Forecast'!$B$1,"m")+1)/3,1)+(COLUMN()-7)*3,DAY($A6)),$F6="yearly",DATE(YEAR($A6)+CEILING((DATEDIF($A6,'13-week CF Forecast'!$B$1,"y")+1),1)+COLUMN()-7,MONTH($A6),DAY($A6)),TRUE,"")</f>
        <v>46204.0</v>
      </c>
      <c r="T6" t="s" s="1">
        <f><![CDATA[IFERROR(ROWSDUMMYFUNCTION(UNNEST(PAIR2JSON('Recurring Transactions'!$A$1,'Recurring Transactions'!A6,'Recurring Transactions'!$B$1,'Recurring Transactions'!B6,'Recurring Transactions'!$C$1,'Recurring Transactions'!C6,'Recurring Transactions'!$D$1,'Recurring Transactions'!D6,'Recurring Transactions'!$E$1,'Recurring Transactions'!E6,'Recurring Transactions'!$F$1,'Recurring Transactions'!F6,"Payment schedule",VALUE(RANGE2JSON('Recurring Transactions'!F6,'Recurring Transactions'!G6:S6))))),"[{""First payment date"":""2025-01-01"",""Counterparty"":""Swade"",""Description"":""Swade"",""Amount"":""$4000"",""Category"":""Sales&Marketing Expenditures"",""Frequency"":""monthly"",""Payment schedule_0"":""2025-07-01""},{""First payment date"":""2025-01-01"",""Counterparty"":""Swade"","&"""Description"":""Swade"",""Amount"":""$4000"",""Category"":""Sales&Marketing Expenditures"",""Frequency"":""monthly"",""Payment schedule_0"":""2025-08-01""},{""First payment date"":""2025-01-01"",""Counterparty"":""Swade"",""Description"":""Swade"",""Amount"":""$4000"",""Category"":""Sales&Ma"&"rketing Expenditures"",""Frequency"":""monthly"",""Payment schedule_0"":""2025-09-01""},{""First payment date"":""2025-01-01"",""Counterparty"":""Swade"",""Description"":""Swade"",""Amount"":""$4000"",""Category"":""Sales&Marketing Expenditures"",""Frequency"":""monthly"",""Payment schedu"&"le_0"":""2025-10-01""},{""First payment date"":""2025-01-01"",""Counterparty"":""Swade"",""Description"":""Swade"",""Amount"":""$4000"",""Category"":""Sales&Marketing Expenditures"",""Frequency"":""monthly"",""Payment schedule_0"":""2025-11-01""},{""First payment date"":""2025-01-01"",""Cou"&"nterparty"":""Swade"",""Description"":""Swade"",""Amount"":""$4000"",""Category"":""Sales&Marketing Expenditures"",""Frequency"":""monthly"",""Payment schedule_0"":""2025-12-01""},{""First payment date"":""2025-01-01"",""Counterparty"":""Swade"",""Description"":""Swade"",""Amount"":""$4000"","""&"Category"":""Sales&Marketing Expenditures"",""Frequency"":""monthly"",""Payment schedule_0"":""2026-01-01""},{""First payment date"":""2025-01-01"",""Counterparty"":""Swade"",""Description"":""Swade"",""Amount"":""$4000"",""Category"":""Sales&Marketing Expenditures"",""Frequency"":""month"&"ly"",""Payment schedule_0"":""2026-02-01""},{""First payment date"":""2025-01-01"",""Counterparty"":""Swade"",""Description"":""Swade"",""Amount"":""$4000"",""Category"":""Sales&Marketing Expenditures"",""Frequency"":""monthly"",""Payment schedule_0"":""2026-03-01""},{""First payment date"&""":""2025-01-01"",""Counterparty"":""Swade"",""Description"":""Swade"",""Amount"":""$4000"",""Category"":""Sales&Marketing Expenditures"",""Frequency"":""monthly"",""Payment schedule_0"":""2026-04-01""},{""First payment date"":""2025-01-01"",""Counterparty"":""Swade"",""Description"":""Swade"""&",""Amount"":""$4000"",""Category"":""Sales&Marketing Expenditures"",""Frequency"":""monthly"",""Payment schedule_0"":""2026-05-01""},{""First payment date"":""2025-01-01"",""Counterparty"":""Swade"",""Description"":""Swade"",""Amount"":""$4000"",""Category"":""Sales&Marketing Expenditures"""&",""Frequency"":""monthly"",""Payment schedule_0"":""2026-06-01""},{""First payment date"":""2025-01-01"",""Counterparty"":""Swade"",""Description"":""Swade"",""Amount"":""$4000"",""Category"":""Sales&Marketing Expenditures"",""Frequency"":""monthly"",""Payment schedule_0"":""2026-07-01""}]")]]></f>
        <v>122</v>
      </c>
      <c r="U6" t="s" s="1">
        <v>118</v>
      </c>
    </row>
    <row r="7">
      <c r="A7" t="n" s="16">
        <v>45658.0</v>
      </c>
      <c r="B7" t="s" s="1">
        <v>123</v>
      </c>
      <c r="C7" t="s" s="1">
        <v>123</v>
      </c>
      <c r="D7" t="n" s="17">
        <v>7000.0</v>
      </c>
      <c r="E7" t="s" s="1">
        <v>51</v>
      </c>
      <c r="F7" t="s" s="1">
        <v>111</v>
      </c>
      <c r="G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45839.0</v>
      </c>
      <c r="H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45870.0</v>
      </c>
      <c r="I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45901.0</v>
      </c>
      <c r="J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45931.0</v>
      </c>
      <c r="K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45962.0</v>
      </c>
      <c r="L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45992.0</v>
      </c>
      <c r="M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46023.0</v>
      </c>
      <c r="N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46054.0</v>
      </c>
      <c r="O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46082.0</v>
      </c>
      <c r="P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46113.0</v>
      </c>
      <c r="Q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46143.0</v>
      </c>
      <c r="R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46174.0</v>
      </c>
      <c r="S7" t="n" s="16">
        <f>IFS($F7="bi-weekly",$A7+CEILING(('13-week CF Forecast'!$B$1-$A7)/14,1)*14+14*(COLUMN()-7),$F7="weekly",$A7+CEILING(('13-week CF Forecast'!$B$1-$A7)/7,1)*7+7*(COLUMN()-7),$F7="monthly",DATE(YEAR($A7),MONTH($A7)+CEILING(DATEDIF($A7,'13-week CF Forecast'!$B$1,"m")+1,1)+COLUMN()-7,DAY($A7)),$F7="quarterly",DATE(YEAR($A7),MONTH($A7)+3*CEILING((DATEDIF($A7,'13-week CF Forecast'!$B$1,"m")+1)/3,1)+(COLUMN()-7)*3,DAY($A7)),$F7="yearly",DATE(YEAR($A7)+CEILING((DATEDIF($A7,'13-week CF Forecast'!$B$1,"y")+1),1)+COLUMN()-7,MONTH($A7),DAY($A7)),TRUE,"")</f>
        <v>46204.0</v>
      </c>
      <c r="T7" t="s" s="1">
        <f><![CDATA[IFERROR(ROWSDUMMYFUNCTION(UNNEST(PAIR2JSON('Recurring Transactions'!$A$1,'Recurring Transactions'!A7,'Recurring Transactions'!$B$1,'Recurring Transactions'!B7,'Recurring Transactions'!$C$1,'Recurring Transactions'!C7,'Recurring Transactions'!$D$1,'Recurring Transactions'!D7,'Recurring Transactions'!$E$1,'Recurring Transactions'!E7,'Recurring Transactions'!$F$1,'Recurring Transactions'!F7,"Payment schedule",VALUE(RANGE2JSON('Recurring Transactions'!F7,'Recurring Transactions'!G7:S7))))),"[{""First payment date"":""2025-01-01"",""Counterparty"":""Digicom"",""Description"":""Digicom"",""Amount"":""$7000"",""Category"":""Sales&Marketing Expenditures"",""Frequency"":""monthly"",""Payment schedule_0"":""2025-07-01""},{""First payment date"":""2025-01-01"",""Counterparty"":""Dig"&"icom"",""Description"":""Digicom"",""Amount"":""$7000"",""Category"":""Sales&Marketing Expenditures"",""Frequency"":""monthly"",""Payment schedule_0"":""2025-08-01""},{""First payment date"":""2025-01-01"",""Counterparty"":""Digicom"",""Description"":""Digicom"",""Amount"":""$7000"",""Categor"&"y"":""Sales&Marketing Expenditures"",""Frequency"":""monthly"",""Payment schedule_0"":""2025-09-01""},{""First payment date"":""2025-01-01"",""Counterparty"":""Digicom"",""Description"":""Digicom"",""Amount"":""$7000"",""Category"":""Sales&Marketing Expenditures"",""Frequency"":""monthly"""&",""Payment schedule_0"":""2025-10-01""},{""First payment date"":""2025-01-01"",""Counterparty"":""Digicom"",""Description"":""Digicom"",""Amount"":""$7000"",""Category"":""Sales&Marketing Expenditures"",""Frequency"":""monthly"",""Payment schedule_0"":""2025-11-01""},{""First payment dat"&"e"":""2025-01-01"",""Counterparty"":""Digicom"",""Description"":""Digicom"",""Amount"":""$7000"",""Category"":""Sales&Marketing Expenditures"",""Frequency"":""monthly"",""Payment schedule_0"":""2025-12-01""},{""First payment date"":""2025-01-01"",""Counterparty"":""Digicom"",""Description"":"&"""Digicom"",""Amount"":""$7000"",""Category"":""Sales&Marketing Expenditures"",""Frequency"":""monthly"",""Payment schedule_0"":""2026-01-01""},{""First payment date"":""2025-01-01"",""Counterparty"":""Digicom"",""Description"":""Digicom"",""Amount"":""$7000"",""Category"":""Sales&Marketing "&"Expenditures"",""Frequency"":""monthly"",""Payment schedule_0"":""2026-02-01""},{""First payment date"":""2025-01-01"",""Counterparty"":""Digicom"",""Description"":""Digicom"",""Amount"":""$7000"",""Category"":""Sales&Marketing Expenditures"",""Frequency"":""monthly"",""Payment schedule_0"&""":""2026-03-01""},{""First payment date"":""2025-01-01"",""Counterparty"":""Digicom"",""Description"":""Digicom"",""Amount"":""$7000"",""Category"":""Sales&Marketing Expenditures"",""Frequency"":""monthly"",""Payment schedule_0"":""2026-04-01""},{""First payment date"":""2025-01-01"",""Cou"&"nterparty"":""Digicom"",""Description"":""Digicom"",""Amount"":""$7000"",""Category"":""Sales&Marketing Expenditures"",""Frequency"":""monthly"",""Payment schedule_0"":""2026-05-01""},{""First payment date"":""2025-01-01"",""Counterparty"":""Digicom"",""Description"":""Digicom"",""Amount"":"""&"$7000"",""Category"":""Sales&Marketing Expenditures"",""Frequency"":""monthly"",""Payment schedule_0"":""2026-06-01""},{""First payment date"":""2025-01-01"",""Counterparty"":""Digicom"",""Description"":""Digicom"",""Amount"":""$7000"",""Category"":""Sales&Marketing Expenditures"",""Frequ"&"ency"":""monthly"",""Payment schedule_0"":""2026-07-01""}]")]]></f>
        <v>124</v>
      </c>
      <c r="U7" t="s" s="1">
        <v>113</v>
      </c>
    </row>
    <row r="8" ht="12.0" customHeight="true">
      <c r="A8" t="n" s="16">
        <v>45658.0</v>
      </c>
      <c r="B8" t="s" s="1">
        <v>125</v>
      </c>
      <c r="C8" t="s" s="1">
        <v>125</v>
      </c>
      <c r="D8" t="n" s="17">
        <v>500.0</v>
      </c>
      <c r="E8" t="s" s="1">
        <v>51</v>
      </c>
      <c r="F8" t="s" s="1">
        <v>111</v>
      </c>
      <c r="G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45839.0</v>
      </c>
      <c r="H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45870.0</v>
      </c>
      <c r="I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45901.0</v>
      </c>
      <c r="J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45931.0</v>
      </c>
      <c r="K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45962.0</v>
      </c>
      <c r="L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45992.0</v>
      </c>
      <c r="M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46023.0</v>
      </c>
      <c r="N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46054.0</v>
      </c>
      <c r="O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46082.0</v>
      </c>
      <c r="P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46113.0</v>
      </c>
      <c r="Q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46143.0</v>
      </c>
      <c r="R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46174.0</v>
      </c>
      <c r="S8" t="n" s="16">
        <f>IFS($F8="bi-weekly",$A8+CEILING(('13-week CF Forecast'!$B$1-$A8)/14,1)*14+14*(COLUMN()-7),$F8="weekly",$A8+CEILING(('13-week CF Forecast'!$B$1-$A8)/7,1)*7+7*(COLUMN()-7),$F8="monthly",DATE(YEAR($A8),MONTH($A8)+CEILING(DATEDIF($A8,'13-week CF Forecast'!$B$1,"m")+1,1)+COLUMN()-7,DAY($A8)),$F8="quarterly",DATE(YEAR($A8),MONTH($A8)+3*CEILING((DATEDIF($A8,'13-week CF Forecast'!$B$1,"m")+1)/3,1)+(COLUMN()-7)*3,DAY($A8)),$F8="yearly",DATE(YEAR($A8)+CEILING((DATEDIF($A8,'13-week CF Forecast'!$B$1,"y")+1),1)+COLUMN()-7,MONTH($A8),DAY($A8)),TRUE,"")</f>
        <v>46204.0</v>
      </c>
      <c r="T8" t="s" s="1">
        <f><![CDATA[IFERROR(ROWSDUMMYFUNCTION(UNNEST(PAIR2JSON('Recurring Transactions'!$A$1,'Recurring Transactions'!A8,'Recurring Transactions'!$B$1,'Recurring Transactions'!B8,'Recurring Transactions'!$C$1,'Recurring Transactions'!C8,'Recurring Transactions'!$D$1,'Recurring Transactions'!D8,'Recurring Transactions'!$E$1,'Recurring Transactions'!E8,'Recurring Transactions'!$F$1,'Recurring Transactions'!F8,"Payment schedule",VALUE(RANGE2JSON('Recurring Transactions'!F8,'Recurring Transactions'!G8:S8))))),"[{""First payment date"":""2025-01-01"",""Counterparty"":""Logical Position"",""Description"":""Logical Position"",""Amount"":""$500"",""Category"":""Sales&Marketing Expenditures"",""Frequency"":""monthly"",""Payment schedule_0"":""2025-07-01""},{""First payment date"":""2025-01-01"",""C"&"ounterparty"":""Logical Position"",""Description"":""Logical Position"",""Amount"":""$500"",""Category"":""Sales&Marketing Expenditures"",""Frequency"":""monthly"",""Payment schedule_0"":""2025-08-01""},{""First payment date"":""2025-01-01"",""Counterparty"":""Logical Position"",""Descr"&"iption"":""Logical Position"",""Amount"":""$500"",""Category"":""Sales&Marketing Expenditures"",""Frequency"":""monthly"",""Payment schedule_0"":""2025-09-01""},{""First payment date"":""2025-01-01"",""Counterparty"":""Logical Position"",""Description"":""Logical Position"",""Amount"":""$"&"500"",""Category"":""Sales&Marketing Expenditures"",""Frequency"":""monthly"",""Payment schedule_0"":""2025-10-01""},{""First payment date"":""2025-01-01"",""Counterparty"":""Logical Position"",""Description"":""Logical Position"",""Amount"":""$500"",""Category"":""Sales&Marketing Expen"&"ditures"",""Frequency"":""monthly"",""Payment schedule_0"":""2025-11-01""},{""First payment date"":""2025-01-01"",""Counterparty"":""Logical Position"",""Description"":""Logical Position"",""Amount"":""$500"",""Category"":""Sales&Marketing Expenditures"",""Frequency"":""monthly"",""Paymen"&"t schedule_0"":""2025-12-01""},{""First payment date"":""2025-01-01"",""Counterparty"":""Logical Position"",""Description"":""Logical Position"",""Amount"":""$500"",""Category"":""Sales&Marketing Expenditures"",""Frequency"":""monthly"",""Payment schedule_0"":""2026-01-01""},{""First pa"&"yment date"":""2025-01-01"",""Counterparty"":""Logical Position"",""Description"":""Logical Position"",""Amount"":""$500"",""Category"":""Sales&Marketing Expenditures"",""Frequency"":""monthly"",""Payment schedule_0"":""2026-02-01""},{""First payment date"":""2025-01-01"",""Counterparty"&""":""Logical Position"",""Description"":""Logical Position"",""Amount"":""$500"",""Category"":""Sales&Marketing Expenditures"",""Frequency"":""monthly"",""Payment schedule_0"":""2026-03-01""},{""First payment date"":""2025-01-01"",""Counterparty"":""Logical Position"",""Description"":""Lo"&"gical Position"",""Amount"":""$500"",""Category"":""Sales&Marketing Expenditures"",""Frequency"":""monthly"",""Payment schedule_0"":""2026-04-01""},{""First payment date"":""2025-01-01"",""Counterparty"":""Logical Position"",""Description"":""Logical Position"",""Amount"":""$500"",""Categ"&"ory"":""Sales&Marketing Expenditures"",""Frequency"":""monthly"",""Payment schedule_0"":""2026-05-01""},{""First payment date"":""2025-01-01"",""Counterparty"":""Logical Position"",""Description"":""Logical Position"",""Amount"":""$500"",""Category"":""Sales&Marketing Expenditures"",""F"&"requency"":""monthly"",""Payment schedule_0"":""2026-06-01""},{""First payment date"":""2025-01-01"",""Counterparty"":""Logical Position"",""Description"":""Logical Position"",""Amount"":""$500"",""Category"":""Sales&Marketing Expenditures"",""Frequency"":""monthly"",""Payment schedule_"&"0"":""2026-07-01""}]")]]></f>
        <v>126</v>
      </c>
      <c r="U8" t="s" s="1">
        <v>118</v>
      </c>
    </row>
    <row r="9">
      <c r="A9" t="n" s="16">
        <v>45658.0</v>
      </c>
      <c r="B9" t="s" s="1">
        <v>10</v>
      </c>
      <c r="C9" t="s" s="1">
        <v>10</v>
      </c>
      <c r="D9" t="n" s="17">
        <v>2000.0</v>
      </c>
      <c r="E9" t="s" s="1">
        <v>8</v>
      </c>
      <c r="F9" t="s" s="1">
        <v>111</v>
      </c>
      <c r="G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45839.0</v>
      </c>
      <c r="H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45870.0</v>
      </c>
      <c r="I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45901.0</v>
      </c>
      <c r="J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45931.0</v>
      </c>
      <c r="K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45962.0</v>
      </c>
      <c r="L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45992.0</v>
      </c>
      <c r="M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46023.0</v>
      </c>
      <c r="N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46054.0</v>
      </c>
      <c r="O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46082.0</v>
      </c>
      <c r="P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46113.0</v>
      </c>
      <c r="Q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46143.0</v>
      </c>
      <c r="R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46174.0</v>
      </c>
      <c r="S9" t="n" s="16">
        <f>IFS($F9="bi-weekly",$A9+CEILING(('13-week CF Forecast'!$B$1-$A9)/14,1)*14+14*(COLUMN()-7),$F9="weekly",$A9+CEILING(('13-week CF Forecast'!$B$1-$A9)/7,1)*7+7*(COLUMN()-7),$F9="monthly",DATE(YEAR($A9),MONTH($A9)+CEILING(DATEDIF($A9,'13-week CF Forecast'!$B$1,"m")+1,1)+COLUMN()-7,DAY($A9)),$F9="quarterly",DATE(YEAR($A9),MONTH($A9)+3*CEILING((DATEDIF($A9,'13-week CF Forecast'!$B$1,"m")+1)/3,1)+(COLUMN()-7)*3,DAY($A9)),$F9="yearly",DATE(YEAR($A9)+CEILING((DATEDIF($A9,'13-week CF Forecast'!$B$1,"y")+1),1)+COLUMN()-7,MONTH($A9),DAY($A9)),TRUE,"")</f>
        <v>46204.0</v>
      </c>
      <c r="T9" t="s" s="1">
        <f><![CDATA[IFERROR(ROWSDUMMYFUNCTION(UNNEST(PAIR2JSON('Recurring Transactions'!$A$1,'Recurring Transactions'!A9,'Recurring Transactions'!$B$1,'Recurring Transactions'!B9,'Recurring Transactions'!$C$1,'Recurring Transactions'!C9,'Recurring Transactions'!$D$1,'Recurring Transactions'!D9,'Recurring Transactions'!$E$1,'Recurring Transactions'!E9,'Recurring Transactions'!$F$1,'Recurring Transactions'!F9,"Payment schedule",VALUE(RANGE2JSON('Recurring Transactions'!F9,'Recurring Transactions'!G9:S9))))),"[{""First payment date"":""2025-01-01"",""Counterparty"":""Shopify"",""Description"":""Shopify"",""Amount"":""$2000"",""Category"":""Software"",""Frequency"":""monthly"",""Payment schedule_0"":""2025-07-01""},{""First payment date"":""2025-01-01"",""Counterparty"":""Shopify"",""Description"":"&"""Shopify"",""Amount"":""$2000"",""Category"":""Software"",""Frequency"":""monthly"",""Payment schedule_0"":""2025-08-01""},{""First payment date"":""2025-01-01"",""Counterparty"":""Shopify"",""Description"":""Shopify"",""Amount"":""$2000"",""Category"":""Software"",""Frequency"":""monthly"",""Pay"&"ment schedule_0"":""2025-09-01""},{""First payment date"":""2025-01-01"",""Counterparty"":""Shopify"",""Description"":""Shopify"",""Amount"":""$2000"",""Category"":""Software"",""Frequency"":""monthly"",""Payment schedule_0"":""2025-10-01""},{""First payment date"":""2025-01-01"",""Counterp"&"arty"":""Shopify"",""Description"":""Shopify"",""Amount"":""$2000"",""Category"":""Software"",""Frequency"":""monthly"",""Payment schedule_0"":""2025-11-01""},{""First payment date"":""2025-01-01"",""Counterparty"":""Shopify"",""Description"":""Shopify"",""Amount"":""$2000"",""Category"":""Softwa"&"re"",""Frequency"":""monthly"",""Payment schedule_0"":""2025-12-01""},{""First payment date"":""2025-01-01"",""Counterparty"":""Shopify"",""Description"":""Shopify"",""Amount"":""$2000"",""Category"":""Software"",""Frequency"":""monthly"",""Payment schedule_0"":""2026-01-01""},{""First paymen"&"t date"":""2025-01-01"",""Counterparty"":""Shopify"",""Description"":""Shopify"",""Amount"":""$2000"",""Category"":""Software"",""Frequency"":""monthly"",""Payment schedule_0"":""2026-02-01""},{""First payment date"":""2025-01-01"",""Counterparty"":""Shopify"",""Description"":""Shopify"",""Amou"&"nt"":""$2000"",""Category"":""Software"",""Frequency"":""monthly"",""Payment schedule_0"":""2026-03-01""},{""First payment date"":""2025-01-01"",""Counterparty"":""Shopify"",""Description"":""Shopify"",""Amount"":""$2000"",""Category"":""Software"",""Frequency"":""monthly"",""Payment schedule_0"&""":""2026-04-01""},{""First payment date"":""2025-01-01"",""Counterparty"":""Shopify"",""Description"":""Shopify"",""Amount"":""$2000"",""Category"":""Software"",""Frequency"":""monthly"",""Payment schedule_0"":""2026-05-01""},{""First payment date"":""2025-01-01"",""Counterparty"":""Shopify"""&",""Description"":""Shopify"",""Amount"":""$2000"",""Category"":""Software"",""Frequency"":""monthly"",""Payment schedule_0"":""2026-06-01""},{""First payment date"":""2025-01-01"",""Counterparty"":""Shopify"",""Description"":""Shopify"",""Amount"":""$2000"",""Category"":""Software"",""Frequency"""&":""monthly"",""Payment schedule_0"":""2026-07-01""}]")]]></f>
        <v>127</v>
      </c>
      <c r="U9" t="s" s="1">
        <v>113</v>
      </c>
    </row>
    <row r="10">
      <c r="A10" t="n" s="16">
        <v>45658.0</v>
      </c>
      <c r="B10" t="s" s="1">
        <v>128</v>
      </c>
      <c r="C10" t="s" s="1">
        <v>128</v>
      </c>
      <c r="D10" t="n" s="17">
        <v>3000.0</v>
      </c>
      <c r="E10" t="s" s="1">
        <v>51</v>
      </c>
      <c r="F10" t="s" s="1">
        <v>111</v>
      </c>
      <c r="G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45839.0</v>
      </c>
      <c r="H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45870.0</v>
      </c>
      <c r="I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45901.0</v>
      </c>
      <c r="J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45931.0</v>
      </c>
      <c r="K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45962.0</v>
      </c>
      <c r="L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45992.0</v>
      </c>
      <c r="M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46023.0</v>
      </c>
      <c r="N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46054.0</v>
      </c>
      <c r="O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46082.0</v>
      </c>
      <c r="P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46113.0</v>
      </c>
      <c r="Q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46143.0</v>
      </c>
      <c r="R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46174.0</v>
      </c>
      <c r="S10" t="n" s="16">
        <f>IFS($F10="bi-weekly",$A10+CEILING(('13-week CF Forecast'!$B$1-$A10)/14,1)*14+14*(COLUMN()-7),$F10="weekly",$A10+CEILING(('13-week CF Forecast'!$B$1-$A10)/7,1)*7+7*(COLUMN()-7),$F10="monthly",DATE(YEAR($A10),MONTH($A10)+CEILING(DATEDIF($A10,'13-week CF Forecast'!$B$1,"m")+1,1)+COLUMN()-7,DAY($A10)),$F10="quarterly",DATE(YEAR($A10),MONTH($A10)+3*CEILING((DATEDIF($A10,'13-week CF Forecast'!$B$1,"m")+1)/3,1)+(COLUMN()-7)*3,DAY($A10)),$F10="yearly",DATE(YEAR($A10)+CEILING((DATEDIF($A10,'13-week CF Forecast'!$B$1,"y")+1),1)+COLUMN()-7,MONTH($A10),DAY($A10)),TRUE,"")</f>
        <v>46204.0</v>
      </c>
      <c r="T10" t="s" s="1">
        <f><![CDATA[IFERROR(ROWSDUMMYFUNCTION(UNNEST(PAIR2JSON('Recurring Transactions'!$A$1,'Recurring Transactions'!A10,'Recurring Transactions'!$B$1,'Recurring Transactions'!B10,'Recurring Transactions'!$C$1,'Recurring Transactions'!C10,'Recurring Transactions'!$D$1,'Recurring Transactions'!D10,'Recurring Transactions'!$E$1,'Recurring Transactions'!E10,'Recurring Transactions'!$F$1,'Recurring Transactions'!F10,"Payment schedule",VALUE(RANGE2JSON('Recurring Transactions'!F10,'Recurring Transactions'!G10:S10))))),"[{""First payment date"":""2025-01-01"",""Counterparty"":""Melissa"",""Description"":""Melissa"",""Amount"":""$3000"",""Category"":""Sales&Marketing Expenditures"",""Frequency"":""monthly"",""Payment schedule_0"":""2025-07-01""},{""First payment date"":""2025-01-01"",""Counterparty"":""Mel"&"issa"",""Description"":""Melissa"",""Amount"":""$3000"",""Category"":""Sales&Marketing Expenditures"",""Frequency"":""monthly"",""Payment schedule_0"":""2025-08-01""},{""First payment date"":""2025-01-01"",""Counterparty"":""Melissa"",""Description"":""Melissa"",""Amount"":""$3000"",""Categor"&"y"":""Sales&Marketing Expenditures"",""Frequency"":""monthly"",""Payment schedule_0"":""2025-09-01""},{""First payment date"":""2025-01-01"",""Counterparty"":""Melissa"",""Description"":""Melissa"",""Amount"":""$3000"",""Category"":""Sales&Marketing Expenditures"",""Frequency"":""monthly"""&",""Payment schedule_0"":""2025-10-01""},{""First payment date"":""2025-01-01"",""Counterparty"":""Melissa"",""Description"":""Melissa"",""Amount"":""$3000"",""Category"":""Sales&Marketing Expenditures"",""Frequency"":""monthly"",""Payment schedule_0"":""2025-11-01""},{""First payment dat"&"e"":""2025-01-01"",""Counterparty"":""Melissa"",""Description"":""Melissa"",""Amount"":""$3000"",""Category"":""Sales&Marketing Expenditures"",""Frequency"":""monthly"",""Payment schedule_0"":""2025-12-01""},{""First payment date"":""2025-01-01"",""Counterparty"":""Melissa"",""Description"":"&"""Melissa"",""Amount"":""$3000"",""Category"":""Sales&Marketing Expenditures"",""Frequency"":""monthly"",""Payment schedule_0"":""2026-01-01""},{""First payment date"":""2025-01-01"",""Counterparty"":""Melissa"",""Description"":""Melissa"",""Amount"":""$3000"",""Category"":""Sales&Marketing "&"Expenditures"",""Frequency"":""monthly"",""Payment schedule_0"":""2026-02-01""},{""First payment date"":""2025-01-01"",""Counterparty"":""Melissa"",""Description"":""Melissa"",""Amount"":""$3000"",""Category"":""Sales&Marketing Expenditures"",""Frequency"":""monthly"",""Payment schedule_0"&""":""2026-03-01""},{""First payment date"":""2025-01-01"",""Counterparty"":""Melissa"",""Description"":""Melissa"",""Amount"":""$3000"",""Category"":""Sales&Marketing Expenditures"",""Frequency"":""monthly"",""Payment schedule_0"":""2026-04-01""},{""First payment date"":""2025-01-01"",""Cou"&"nterparty"":""Melissa"",""Description"":""Melissa"",""Amount"":""$3000"",""Category"":""Sales&Marketing Expenditures"",""Frequency"":""monthly"",""Payment schedule_0"":""2026-05-01""},{""First payment date"":""2025-01-01"",""Counterparty"":""Melissa"",""Description"":""Melissa"",""Amount"":"""&"$3000"",""Category"":""Sales&Marketing Expenditures"",""Frequency"":""monthly"",""Payment schedule_0"":""2026-06-01""},{""First payment date"":""2025-01-01"",""Counterparty"":""Melissa"",""Description"":""Melissa"",""Amount"":""$3000"",""Category"":""Sales&Marketing Expenditures"",""Frequ"&"ency"":""monthly"",""Payment schedule_0"":""2026-07-01""}]")]]></f>
        <v>129</v>
      </c>
      <c r="U10" t="s" s="1">
        <v>113</v>
      </c>
    </row>
    <row r="11">
      <c r="A11" t="n" s="16">
        <v>45658.0</v>
      </c>
      <c r="B11" t="s" s="1">
        <v>130</v>
      </c>
      <c r="C11" t="s" s="1">
        <v>130</v>
      </c>
      <c r="D11" t="n" s="17">
        <v>1145.0</v>
      </c>
      <c r="E11" t="s" s="1">
        <v>8</v>
      </c>
      <c r="F11" t="s" s="1">
        <v>111</v>
      </c>
      <c r="G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45839.0</v>
      </c>
      <c r="H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45870.0</v>
      </c>
      <c r="I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45901.0</v>
      </c>
      <c r="J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45931.0</v>
      </c>
      <c r="K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45962.0</v>
      </c>
      <c r="L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45992.0</v>
      </c>
      <c r="M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46023.0</v>
      </c>
      <c r="N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46054.0</v>
      </c>
      <c r="O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46082.0</v>
      </c>
      <c r="P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46113.0</v>
      </c>
      <c r="Q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46143.0</v>
      </c>
      <c r="R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46174.0</v>
      </c>
      <c r="S11" t="n" s="16">
        <f>IFS($F11="bi-weekly",$A11+CEILING(('13-week CF Forecast'!$B$1-$A11)/14,1)*14+14*(COLUMN()-7),$F11="weekly",$A11+CEILING(('13-week CF Forecast'!$B$1-$A11)/7,1)*7+7*(COLUMN()-7),$F11="monthly",DATE(YEAR($A11),MONTH($A11)+CEILING(DATEDIF($A11,'13-week CF Forecast'!$B$1,"m")+1,1)+COLUMN()-7,DAY($A11)),$F11="quarterly",DATE(YEAR($A11),MONTH($A11)+3*CEILING((DATEDIF($A11,'13-week CF Forecast'!$B$1,"m")+1)/3,1)+(COLUMN()-7)*3,DAY($A11)),$F11="yearly",DATE(YEAR($A11)+CEILING((DATEDIF($A11,'13-week CF Forecast'!$B$1,"y")+1),1)+COLUMN()-7,MONTH($A11),DAY($A11)),TRUE,"")</f>
        <v>46204.0</v>
      </c>
      <c r="T11" t="s" s="1">
        <f><![CDATA[IFERROR(ROWSDUMMYFUNCTION(UNNEST(PAIR2JSON('Recurring Transactions'!$A$1,'Recurring Transactions'!A11,'Recurring Transactions'!$B$1,'Recurring Transactions'!B11,'Recurring Transactions'!$C$1,'Recurring Transactions'!C11,'Recurring Transactions'!$D$1,'Recurring Transactions'!D11,'Recurring Transactions'!$E$1,'Recurring Transactions'!E11,'Recurring Transactions'!$F$1,'Recurring Transactions'!F11,"Payment schedule",VALUE(RANGE2JSON('Recurring Transactions'!F11,'Recurring Transactions'!G11:S11))))),"[{""First payment date"":""2025-01-01"",""Counterparty"":""Infoplus"",""Description"":""Infoplus"",""Amount"":""$1145"",""Category"":""Software"",""Frequency"":""monthly"",""Payment schedule_0"":""2025-07-01""},{""First payment date"":""2025-01-01"",""Counterparty"":""Infoplus"",""Descriptio"&"n"":""Infoplus"",""Amount"":""$1145"",""Category"":""Software"",""Frequency"":""monthly"",""Payment schedule_0"":""2025-08-01""},{""First payment date"":""2025-01-01"",""Counterparty"":""Infoplus"",""Description"":""Infoplus"",""Amount"":""$1145"",""Category"":""Software"",""Frequency"":""monthly"&""",""Payment schedule_0"":""2025-09-01""},{""First payment date"":""2025-01-01"",""Counterparty"":""Infoplus"",""Description"":""Infoplus"",""Amount"":""$1145"",""Category"":""Software"",""Frequency"":""monthly"",""Payment schedule_0"":""2025-10-01""},{""First payment date"":""2025-01-01"","""&"Counterparty"":""Infoplus"",""Description"":""Infoplus"",""Amount"":""$1145"",""Category"":""Software"",""Frequency"":""monthly"",""Payment schedule_0"":""2025-11-01""},{""First payment date"":""2025-01-01"",""Counterparty"":""Infoplus"",""Description"":""Infoplus"",""Amount"":""$1145"",""Categ"&"ory"":""Software"",""Frequency"":""monthly"",""Payment schedule_0"":""2025-12-01""},{""First payment date"":""2025-01-01"",""Counterparty"":""Infoplus"",""Description"":""Infoplus"",""Amount"":""$1145"",""Category"":""Software"",""Frequency"":""monthly"",""Payment schedule_0"":""2026-01-01""},"&"{""First payment date"":""2025-01-01"",""Counterparty"":""Infoplus"",""Description"":""Infoplus"",""Amount"":""$1145"",""Category"":""Software"",""Frequency"":""monthly"",""Payment schedule_0"":""2026-02-01""},{""First payment date"":""2025-01-01"",""Counterparty"":""Infoplus"",""Description"&""":""Infoplus"",""Amount"":""$1145"",""Category"":""Software"",""Frequency"":""monthly"",""Payment schedule_0"":""2026-03-01""},{""First payment date"":""2025-01-01"",""Counterparty"":""Infoplus"",""Description"":""Infoplus"",""Amount"":""$1145"",""Category"":""Software"",""Frequency"":""monthly"""&",""Payment schedule_0"":""2026-04-01""},{""First payment date"":""2025-01-01"",""Counterparty"":""Infoplus"",""Description"":""Infoplus"",""Amount"":""$1145"",""Category"":""Software"",""Frequency"":""monthly"",""Payment schedule_0"":""2026-05-01""},{""First payment date"":""2025-01-01"",""C"&"ounterparty"":""Infoplus"",""Description"":""Infoplus"",""Amount"":""$1145"",""Category"":""Software"",""Frequency"":""monthly"",""Payment schedule_0"":""2026-06-01""},{""First payment date"":""2025-01-01"",""Counterparty"":""Infoplus"",""Description"":""Infoplus"",""Amount"":""$1145"",""Catego"&"ry"":""Software"",""Frequency"":""monthly"",""Payment schedule_0"":""2026-07-01""}]")]]></f>
        <v>131</v>
      </c>
      <c r="U11" t="s" s="1">
        <v>113</v>
      </c>
    </row>
    <row r="12" ht="12.0" customHeight="true">
      <c r="A12" t="n" s="16">
        <v>45658.0</v>
      </c>
      <c r="B12" t="s" s="1">
        <v>132</v>
      </c>
      <c r="C12" t="s" s="1">
        <v>132</v>
      </c>
      <c r="D12" t="n" s="17">
        <v>1000.0</v>
      </c>
      <c r="E12" t="s" s="1">
        <v>8</v>
      </c>
      <c r="F12" t="s" s="1">
        <v>111</v>
      </c>
      <c r="G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45839.0</v>
      </c>
      <c r="H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45870.0</v>
      </c>
      <c r="I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45901.0</v>
      </c>
      <c r="J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45931.0</v>
      </c>
      <c r="K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45962.0</v>
      </c>
      <c r="L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45992.0</v>
      </c>
      <c r="M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46023.0</v>
      </c>
      <c r="N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46054.0</v>
      </c>
      <c r="O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46082.0</v>
      </c>
      <c r="P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46113.0</v>
      </c>
      <c r="Q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46143.0</v>
      </c>
      <c r="R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46174.0</v>
      </c>
      <c r="S12" t="n" s="16">
        <f>IFS($F12="bi-weekly",$A12+CEILING(('13-week CF Forecast'!$B$1-$A12)/14,1)*14+14*(COLUMN()-7),$F12="weekly",$A12+CEILING(('13-week CF Forecast'!$B$1-$A12)/7,1)*7+7*(COLUMN()-7),$F12="monthly",DATE(YEAR($A12),MONTH($A12)+CEILING(DATEDIF($A12,'13-week CF Forecast'!$B$1,"m")+1,1)+COLUMN()-7,DAY($A12)),$F12="quarterly",DATE(YEAR($A12),MONTH($A12)+3*CEILING((DATEDIF($A12,'13-week CF Forecast'!$B$1,"m")+1)/3,1)+(COLUMN()-7)*3,DAY($A12)),$F12="yearly",DATE(YEAR($A12)+CEILING((DATEDIF($A12,'13-week CF Forecast'!$B$1,"y")+1),1)+COLUMN()-7,MONTH($A12),DAY($A12)),TRUE,"")</f>
        <v>46204.0</v>
      </c>
      <c r="T12" t="s" s="1">
        <f><![CDATA[IFERROR(ROWSDUMMYFUNCTION(UNNEST(PAIR2JSON('Recurring Transactions'!$A$1,'Recurring Transactions'!A12,'Recurring Transactions'!$B$1,'Recurring Transactions'!B12,'Recurring Transactions'!$C$1,'Recurring Transactions'!C12,'Recurring Transactions'!$D$1,'Recurring Transactions'!D12,'Recurring Transactions'!$E$1,'Recurring Transactions'!E12,'Recurring Transactions'!$F$1,'Recurring Transactions'!F12,"Payment schedule",VALUE(RANGE2JSON('Recurring Transactions'!F12,'Recurring Transactions'!G12:S12))))),"[{""First payment date"":""2025-01-01"",""Counterparty"":""Klaviyo"",""Description"":""Klaviyo"",""Amount"":""$1000"",""Category"":""Software"",""Frequency"":""monthly"",""Payment schedule_0"":""2025-07-01""},{""First payment date"":""2025-01-01"",""Counterparty"":""Klaviyo"",""Description"":"&"""Klaviyo"",""Amount"":""$1000"",""Category"":""Software"",""Frequency"":""monthly"",""Payment schedule_0"":""2025-08-01""},{""First payment date"":""2025-01-01"",""Counterparty"":""Klaviyo"",""Description"":""Klaviyo"",""Amount"":""$1000"",""Category"":""Software"",""Frequency"":""monthly"",""Pay"&"ment schedule_0"":""2025-09-01""},{""First payment date"":""2025-01-01"",""Counterparty"":""Klaviyo"",""Description"":""Klaviyo"",""Amount"":""$1000"",""Category"":""Software"",""Frequency"":""monthly"",""Payment schedule_0"":""2025-10-01""},{""First payment date"":""2025-01-01"",""Counterp"&"arty"":""Klaviyo"",""Description"":""Klaviyo"",""Amount"":""$1000"",""Category"":""Software"",""Frequency"":""monthly"",""Payment schedule_0"":""2025-11-01""},{""First payment date"":""2025-01-01"",""Counterparty"":""Klaviyo"",""Description"":""Klaviyo"",""Amount"":""$1000"",""Category"":""Softwa"&"re"",""Frequency"":""monthly"",""Payment schedule_0"":""2025-12-01""},{""First payment date"":""2025-01-01"",""Counterparty"":""Klaviyo"",""Description"":""Klaviyo"",""Amount"":""$1000"",""Category"":""Software"",""Frequency"":""monthly"",""Payment schedule_0"":""2026-01-01""},{""First paymen"&"t date"":""2025-01-01"",""Counterparty"":""Klaviyo"",""Description"":""Klaviyo"",""Amount"":""$1000"",""Category"":""Software"",""Frequency"":""monthly"",""Payment schedule_0"":""2026-02-01""},{""First payment date"":""2025-01-01"",""Counterparty"":""Klaviyo"",""Description"":""Klaviyo"",""Amou"&"nt"":""$1000"",""Category"":""Software"",""Frequency"":""monthly"",""Payment schedule_0"":""2026-03-01""},{""First payment date"":""2025-01-01"",""Counterparty"":""Klaviyo"",""Description"":""Klaviyo"",""Amount"":""$1000"",""Category"":""Software"",""Frequency"":""monthly"",""Payment schedule_0"&""":""2026-04-01""},{""First payment date"":""2025-01-01"",""Counterparty"":""Klaviyo"",""Description"":""Klaviyo"",""Amount"":""$1000"",""Category"":""Software"",""Frequency"":""monthly"",""Payment schedule_0"":""2026-05-01""},{""First payment date"":""2025-01-01"",""Counterparty"":""Klaviyo"""&",""Description"":""Klaviyo"",""Amount"":""$1000"",""Category"":""Software"",""Frequency"":""monthly"",""Payment schedule_0"":""2026-06-01""},{""First payment date"":""2025-01-01"",""Counterparty"":""Klaviyo"",""Description"":""Klaviyo"",""Amount"":""$1000"",""Category"":""Software"",""Frequency"""&":""monthly"",""Payment schedule_0"":""2026-07-01""}]")]]></f>
        <v>133</v>
      </c>
      <c r="U12" t="s" s="1">
        <v>118</v>
      </c>
    </row>
    <row r="13" ht="12.0" customHeight="true">
      <c r="A13" t="n" s="16">
        <v>45658.0</v>
      </c>
      <c r="B13" t="s" s="1">
        <v>134</v>
      </c>
      <c r="C13" t="s" s="1">
        <v>134</v>
      </c>
      <c r="D13" t="n" s="17">
        <v>500.0</v>
      </c>
      <c r="E13" t="s" s="1">
        <v>8</v>
      </c>
      <c r="F13" t="s" s="1">
        <v>111</v>
      </c>
      <c r="G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45839.0</v>
      </c>
      <c r="H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45870.0</v>
      </c>
      <c r="I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45901.0</v>
      </c>
      <c r="J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45931.0</v>
      </c>
      <c r="K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45962.0</v>
      </c>
      <c r="L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45992.0</v>
      </c>
      <c r="M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46023.0</v>
      </c>
      <c r="N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46054.0</v>
      </c>
      <c r="O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46082.0</v>
      </c>
      <c r="P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46113.0</v>
      </c>
      <c r="Q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46143.0</v>
      </c>
      <c r="R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46174.0</v>
      </c>
      <c r="S13" t="n" s="16">
        <f>IFS($F13="bi-weekly",$A13+CEILING(('13-week CF Forecast'!$B$1-$A13)/14,1)*14+14*(COLUMN()-7),$F13="weekly",$A13+CEILING(('13-week CF Forecast'!$B$1-$A13)/7,1)*7+7*(COLUMN()-7),$F13="monthly",DATE(YEAR($A13),MONTH($A13)+CEILING(DATEDIF($A13,'13-week CF Forecast'!$B$1,"m")+1,1)+COLUMN()-7,DAY($A13)),$F13="quarterly",DATE(YEAR($A13),MONTH($A13)+3*CEILING((DATEDIF($A13,'13-week CF Forecast'!$B$1,"m")+1)/3,1)+(COLUMN()-7)*3,DAY($A13)),$F13="yearly",DATE(YEAR($A13)+CEILING((DATEDIF($A13,'13-week CF Forecast'!$B$1,"y")+1),1)+COLUMN()-7,MONTH($A13),DAY($A13)),TRUE,"")</f>
        <v>46204.0</v>
      </c>
      <c r="T13" t="s" s="1">
        <f><![CDATA[IFERROR(ROWSDUMMYFUNCTION(UNNEST(PAIR2JSON('Recurring Transactions'!$A$1,'Recurring Transactions'!A13,'Recurring Transactions'!$B$1,'Recurring Transactions'!B13,'Recurring Transactions'!$C$1,'Recurring Transactions'!C13,'Recurring Transactions'!$D$1,'Recurring Transactions'!D13,'Recurring Transactions'!$E$1,'Recurring Transactions'!E13,'Recurring Transactions'!$F$1,'Recurring Transactions'!F13,"Payment schedule",VALUE(RANGE2JSON('Recurring Transactions'!F13,'Recurring Transactions'!G13:S13))))),"[{""First payment date"":""2025-01-01"",""Counterparty"":""Loop Returns"",""Description"":""Loop Returns"",""Amount"":""$500"",""Category"":""Software"",""Frequency"":""monthly"",""Payment schedule_0"":""2025-07-01""},{""First payment date"":""2025-01-01"",""Counterparty"":""Loop Returns"","&"""Description"":""Loop Returns"",""Amount"":""$500"",""Category"":""Software"",""Frequency"":""monthly"",""Payment schedule_0"":""2025-08-01""},{""First payment date"":""2025-01-01"",""Counterparty"":""Loop Returns"",""Description"":""Loop Returns"",""Amount"":""$500"",""Category"":""Software"""&",""Frequency"":""monthly"",""Payment schedule_0"":""2025-09-01""},{""First payment date"":""2025-01-01"",""Counterparty"":""Loop Returns"",""Description"":""Loop Returns"",""Amount"":""$500"",""Category"":""Software"",""Frequency"":""monthly"",""Payment schedule_0"":""2025-10-01""},{""First "&"payment date"":""2025-01-01"",""Counterparty"":""Loop Returns"",""Description"":""Loop Returns"",""Amount"":""$500"",""Category"":""Software"",""Frequency"":""monthly"",""Payment schedule_0"":""2025-11-01""},{""First payment date"":""2025-01-01"",""Counterparty"":""Loop Returns"",""Descript"&"ion"":""Loop Returns"",""Amount"":""$500"",""Category"":""Software"",""Frequency"":""monthly"",""Payment schedule_0"":""2025-12-01""},{""First payment date"":""2025-01-01"",""Counterparty"":""Loop Returns"",""Description"":""Loop Returns"",""Amount"":""$500"",""Category"":""Software"",""Frequen"&"cy"":""monthly"",""Payment schedule_0"":""2026-01-01""},{""First payment date"":""2025-01-01"",""Counterparty"":""Loop Returns"",""Description"":""Loop Returns"",""Amount"":""$500"",""Category"":""Software"",""Frequency"":""monthly"",""Payment schedule_0"":""2026-02-01""},{""First payment d"&"ate"":""2025-01-01"",""Counterparty"":""Loop Returns"",""Description"":""Loop Returns"",""Amount"":""$500"",""Category"":""Software"",""Frequency"":""monthly"",""Payment schedule_0"":""2026-03-01""},{""First payment date"":""2025-01-01"",""Counterparty"":""Loop Returns"",""Description"":""Loo"&"p Returns"",""Amount"":""$500"",""Category"":""Software"",""Frequency"":""monthly"",""Payment schedule_0"":""2026-04-01""},{""First payment date"":""2025-01-01"",""Counterparty"":""Loop Returns"",""Description"":""Loop Returns"",""Amount"":""$500"",""Category"":""Software"",""Frequency"":""mont"&"hly"",""Payment schedule_0"":""2026-05-01""},{""First payment date"":""2025-01-01"",""Counterparty"":""Loop Returns"",""Description"":""Loop Returns"",""Amount"":""$500"",""Category"":""Software"",""Frequency"":""monthly"",""Payment schedule_0"":""2026-06-01""},{""First payment date"":""202"&"5-01-01"",""Counterparty"":""Loop Returns"",""Description"":""Loop Returns"",""Amount"":""$500"",""Category"":""Software"",""Frequency"":""monthly"",""Payment schedule_0"":""2026-07-01""}]")]]></f>
        <v>135</v>
      </c>
      <c r="U13" t="s" s="1">
        <v>118</v>
      </c>
    </row>
    <row r="14">
      <c r="A14" t="n" s="16">
        <v>45658.0</v>
      </c>
      <c r="B14" t="s" s="1">
        <v>136</v>
      </c>
      <c r="C14" t="s" s="1">
        <v>136</v>
      </c>
      <c r="D14" t="n" s="17">
        <v>688.0</v>
      </c>
      <c r="E14" t="s" s="1">
        <v>26</v>
      </c>
      <c r="F14" t="s" s="1">
        <v>111</v>
      </c>
      <c r="G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45839.0</v>
      </c>
      <c r="H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45870.0</v>
      </c>
      <c r="I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45901.0</v>
      </c>
      <c r="J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45931.0</v>
      </c>
      <c r="K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45962.0</v>
      </c>
      <c r="L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45992.0</v>
      </c>
      <c r="M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46023.0</v>
      </c>
      <c r="N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46054.0</v>
      </c>
      <c r="O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46082.0</v>
      </c>
      <c r="P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46113.0</v>
      </c>
      <c r="Q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46143.0</v>
      </c>
      <c r="R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46174.0</v>
      </c>
      <c r="S14" t="n" s="16">
        <f>IFS($F14="bi-weekly",$A14+CEILING(('13-week CF Forecast'!$B$1-$A14)/14,1)*14+14*(COLUMN()-7),$F14="weekly",$A14+CEILING(('13-week CF Forecast'!$B$1-$A14)/7,1)*7+7*(COLUMN()-7),$F14="monthly",DATE(YEAR($A14),MONTH($A14)+CEILING(DATEDIF($A14,'13-week CF Forecast'!$B$1,"m")+1,1)+COLUMN()-7,DAY($A14)),$F14="quarterly",DATE(YEAR($A14),MONTH($A14)+3*CEILING((DATEDIF($A14,'13-week CF Forecast'!$B$1,"m")+1)/3,1)+(COLUMN()-7)*3,DAY($A14)),$F14="yearly",DATE(YEAR($A14)+CEILING((DATEDIF($A14,'13-week CF Forecast'!$B$1,"y")+1),1)+COLUMN()-7,MONTH($A14),DAY($A14)),TRUE,"")</f>
        <v>46204.0</v>
      </c>
      <c r="T14" t="s" s="1">
        <f><![CDATA[IFERROR(ROWSDUMMYFUNCTION(UNNEST(PAIR2JSON('Recurring Transactions'!$A$1,'Recurring Transactions'!A14,'Recurring Transactions'!$B$1,'Recurring Transactions'!B14,'Recurring Transactions'!$C$1,'Recurring Transactions'!C14,'Recurring Transactions'!$D$1,'Recurring Transactions'!D14,'Recurring Transactions'!$E$1,'Recurring Transactions'!E14,'Recurring Transactions'!$F$1,'Recurring Transactions'!F14,"Payment schedule",VALUE(RANGE2JSON('Recurring Transactions'!F14,'Recurring Transactions'!G14:S14))))),"[{""First payment date"":""2025-01-01"",""Counterparty"":""Forklift"",""Description"":""Forklift"",""Amount"":""$688"",""Category"":""Overhead Expenditures"",""Frequency"":""monthly"",""Payment schedule_0"":""2025-07-01""},{""First payment date"":""2025-01-01"",""Counterparty"":""Forklift"""&",""Description"":""Forklift"",""Amount"":""$688"",""Category"":""Overhead Expenditures"",""Frequency"":""monthly"",""Payment schedule_0"":""2025-08-01""},{""First payment date"":""2025-01-01"",""Counterparty"":""Forklift"",""Description"":""Forklift"",""Amount"":""$688"",""Category"":""Overhea"&"d Expenditures"",""Frequency"":""monthly"",""Payment schedule_0"":""2025-09-01""},{""First payment date"":""2025-01-01"",""Counterparty"":""Forklift"",""Description"":""Forklift"",""Amount"":""$688"",""Category"":""Overhead Expenditures"",""Frequency"":""monthly"",""Payment schedule_0"":""2"&"025-10-01""},{""First payment date"":""2025-01-01"",""Counterparty"":""Forklift"",""Description"":""Forklift"",""Amount"":""$688"",""Category"":""Overhead Expenditures"",""Frequency"":""monthly"",""Payment schedule_0"":""2025-11-01""},{""First payment date"":""2025-01-01"",""Counterparty"""&":""Forklift"",""Description"":""Forklift"",""Amount"":""$688"",""Category"":""Overhead Expenditures"",""Frequency"":""monthly"",""Payment schedule_0"":""2025-12-01""},{""First payment date"":""2025-01-01"",""Counterparty"":""Forklift"",""Description"":""Forklift"",""Amount"":""$688"",""Categor"&"y"":""Overhead Expenditures"",""Frequency"":""monthly"",""Payment schedule_0"":""2026-01-01""},{""First payment date"":""2025-01-01"",""Counterparty"":""Forklift"",""Description"":""Forklift"",""Amount"":""$688"",""Category"":""Overhead Expenditures"",""Frequency"":""monthly"",""Payment sch"&"edule_0"":""2026-02-01""},{""First payment date"":""2025-01-01"",""Counterparty"":""Forklift"",""Description"":""Forklift"",""Amount"":""$688"",""Category"":""Overhead Expenditures"",""Frequency"":""monthly"",""Payment schedule_0"":""2026-03-01""},{""First payment date"":""2025-01-01"",""Co"&"unterparty"":""Forklift"",""Description"":""Forklift"",""Amount"":""$688"",""Category"":""Overhead Expenditures"",""Frequency"":""monthly"",""Payment schedule_0"":""2026-04-01""},{""First payment date"":""2025-01-01"",""Counterparty"":""Forklift"",""Description"":""Forklift"",""Amount"":""$68"&"8"",""Category"":""Overhead Expenditures"",""Frequency"":""monthly"",""Payment schedule_0"":""2026-05-01""},{""First payment date"":""2025-01-01"",""Counterparty"":""Forklift"",""Description"":""Forklift"",""Amount"":""$688"",""Category"":""Overhead Expenditures"",""Frequency"":""monthly"","""&"Payment schedule_0"":""2026-06-01""},{""First payment date"":""2025-01-01"",""Counterparty"":""Forklift"",""Description"":""Forklift"",""Amount"":""$688"",""Category"":""Overhead Expenditures"",""Frequency"":""monthly"",""Payment schedule_0"":""2026-07-01""}]")]]></f>
        <v>137</v>
      </c>
      <c r="U14" t="s" s="1">
        <v>113</v>
      </c>
    </row>
    <row r="15">
      <c r="A15" t="n" s="16">
        <v>45658.0</v>
      </c>
      <c r="B15" t="s" s="1">
        <v>138</v>
      </c>
      <c r="C15" t="s" s="1">
        <v>138</v>
      </c>
      <c r="D15" t="n" s="17">
        <v>2500.0</v>
      </c>
      <c r="E15" t="s" s="1">
        <v>139</v>
      </c>
      <c r="F15" t="s" s="1">
        <v>140</v>
      </c>
      <c r="G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45839.0</v>
      </c>
      <c r="H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45931.0</v>
      </c>
      <c r="I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46023.0</v>
      </c>
      <c r="J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46113.0</v>
      </c>
      <c r="K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46204.0</v>
      </c>
      <c r="L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46296.0</v>
      </c>
      <c r="M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46388.0</v>
      </c>
      <c r="N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46478.0</v>
      </c>
      <c r="O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46569.0</v>
      </c>
      <c r="P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46661.0</v>
      </c>
      <c r="Q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46753.0</v>
      </c>
      <c r="R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46844.0</v>
      </c>
      <c r="S15" t="n" s="16">
        <f>IFS($F15="bi-weekly",$A15+CEILING(('13-week CF Forecast'!$B$1-$A15)/14,1)*14+14*(COLUMN()-7),$F15="weekly",$A15+CEILING(('13-week CF Forecast'!$B$1-$A15)/7,1)*7+7*(COLUMN()-7),$F15="monthly",DATE(YEAR($A15),MONTH($A15)+CEILING(DATEDIF($A15,'13-week CF Forecast'!$B$1,"m")+1,1)+COLUMN()-7,DAY($A15)),$F15="quarterly",DATE(YEAR($A15),MONTH($A15)+3*CEILING((DATEDIF($A15,'13-week CF Forecast'!$B$1,"m")+1)/3,1)+(COLUMN()-7)*3,DAY($A15)),$F15="yearly",DATE(YEAR($A15)+CEILING((DATEDIF($A15,'13-week CF Forecast'!$B$1,"y")+1),1)+COLUMN()-7,MONTH($A15),DAY($A15)),TRUE,"")</f>
        <v>46935.0</v>
      </c>
      <c r="T15" t="s" s="1">
        <f><![CDATA[IFERROR(ROWSDUMMYFUNCTION(UNNEST(PAIR2JSON('Recurring Transactions'!$A$1,'Recurring Transactions'!A15,'Recurring Transactions'!$B$1,'Recurring Transactions'!B15,'Recurring Transactions'!$C$1,'Recurring Transactions'!C15,'Recurring Transactions'!$D$1,'Recurring Transactions'!D15,'Recurring Transactions'!$E$1,'Recurring Transactions'!E15,'Recurring Transactions'!$F$1,'Recurring Transactions'!F15,"Payment schedule",VALUE(RANGE2JSON('Recurring Transactions'!F15,'Recurring Transactions'!G15:S15))))),"[{""First payment date"":""2025-01-01"",""Counterparty"":""Bobby/Peggy"",""Description"":""Bobby/Peggy"",""Amount"":""$2500"",""Category"":""Interest Expenditures"",""Frequency"":""quarterly"",""Payment schedule_0"":""2025-07-01""},{""First payment date"":""2025-01-01"",""Counterparty"":"""&"Bobby/Peggy"",""Description"":""Bobby/Peggy"",""Amount"":""$2500"",""Category"":""Interest Expenditures"",""Frequency"":""quarterly"",""Payment schedule_0"":""2025-10-01""},{""First payment date"":""2025-01-01"",""Counterparty"":""Bobby/Peggy"",""Description"":""Bobby/Peggy"",""Amount"":""$"&"2500"",""Category"":""Interest Expenditures"",""Frequency"":""quarterly"",""Payment schedule_0"":""2026-01-01""},{""First payment date"":""2025-01-01"",""Counterparty"":""Bobby/Peggy"",""Description"":""Bobby/Peggy"",""Amount"":""$2500"",""Category"":""Interest Expenditures"",""Frequency"""&":""quarterly"",""Payment schedule_0"":""2026-04-01""},{""First payment date"":""2025-01-01"",""Counterparty"":""Bobby/Peggy"",""Description"":""Bobby/Peggy"",""Amount"":""$2500"",""Category"":""Interest Expenditures"",""Frequency"":""quarterly"",""Payment schedule_0"":""2026-07-01""},{""Fi"&"rst payment date"":""2025-01-01"",""Counterparty"":""Bobby/Peggy"",""Description"":""Bobby/Peggy"",""Amount"":""$2500"",""Category"":""Interest Expenditures"",""Frequency"":""quarterly"",""Payment schedule_0"":""2026-10-01""},{""First payment date"":""2025-01-01"",""Counterparty"":""Bobby"&"/Peggy"",""Description"":""Bobby/Peggy"",""Amount"":""$2500"",""Category"":""Interest Expenditures"",""Frequency"":""quarterly"",""Payment schedule_0"":""2027-01-01""},{""First payment date"":""2025-01-01"",""Counterparty"":""Bobby/Peggy"",""Description"":""Bobby/Peggy"",""Amount"":""$2500"""&",""Category"":""Interest Expenditures"",""Frequency"":""quarterly"",""Payment schedule_0"":""2027-04-01""},{""First payment date"":""2025-01-01"",""Counterparty"":""Bobby/Peggy"",""Description"":""Bobby/Peggy"",""Amount"":""$2500"",""Category"":""Interest Expenditures"",""Frequency"":""qua"&"rterly"",""Payment schedule_0"":""2027-07-01""},{""First payment date"":""2025-01-01"",""Counterparty"":""Bobby/Peggy"",""Description"":""Bobby/Peggy"",""Amount"":""$2500"",""Category"":""Interest Expenditures"",""Frequency"":""quarterly"",""Payment schedule_0"":""2027-10-01""},{""First p"&"ayment date"":""2025-01-01"",""Counterparty"":""Bobby/Peggy"",""Description"":""Bobby/Peggy"",""Amount"":""$2500"",""Category"":""Interest Expenditures"",""Frequency"":""quarterly"",""Payment schedule_0"":""2028-01-01""},{""First payment date"":""2025-01-01"",""Counterparty"":""Bobby/Pegg"&"y"",""Description"":""Bobby/Peggy"",""Amount"":""$2500"",""Category"":""Interest Expenditures"",""Frequency"":""quarterly"",""Payment schedule_0"":""2028-04-01""},{""First payment date"":""2025-01-01"",""Counterparty"":""Bobby/Peggy"",""Description"":""Bobby/Peggy"",""Amount"":""$2500"",""Cat"&"egory"":""Interest Expenditures"",""Frequency"":""quarterly"",""Payment schedule_0"":""2028-07-01""}]")]]></f>
        <v>141</v>
      </c>
      <c r="U15" t="s" s="1">
        <v>113</v>
      </c>
    </row>
    <row r="16" ht="12.0" customHeight="true">
      <c r="A16" t="n" s="16">
        <v>45658.0</v>
      </c>
      <c r="B16" t="s" s="1">
        <v>142</v>
      </c>
      <c r="C16" t="s" s="1">
        <v>142</v>
      </c>
      <c r="D16" t="n" s="17">
        <v>100.0</v>
      </c>
      <c r="E16" t="s" s="1">
        <v>8</v>
      </c>
      <c r="F16" t="s" s="1">
        <v>111</v>
      </c>
      <c r="G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45839.0</v>
      </c>
      <c r="H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45870.0</v>
      </c>
      <c r="I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45901.0</v>
      </c>
      <c r="J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45931.0</v>
      </c>
      <c r="K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45962.0</v>
      </c>
      <c r="L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45992.0</v>
      </c>
      <c r="M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46023.0</v>
      </c>
      <c r="N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46054.0</v>
      </c>
      <c r="O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46082.0</v>
      </c>
      <c r="P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46113.0</v>
      </c>
      <c r="Q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46143.0</v>
      </c>
      <c r="R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46174.0</v>
      </c>
      <c r="S16" t="n" s="16">
        <f>IFS($F16="bi-weekly",$A16+CEILING(('13-week CF Forecast'!$B$1-$A16)/14,1)*14+14*(COLUMN()-7),$F16="weekly",$A16+CEILING(('13-week CF Forecast'!$B$1-$A16)/7,1)*7+7*(COLUMN()-7),$F16="monthly",DATE(YEAR($A16),MONTH($A16)+CEILING(DATEDIF($A16,'13-week CF Forecast'!$B$1,"m")+1,1)+COLUMN()-7,DAY($A16)),$F16="quarterly",DATE(YEAR($A16),MONTH($A16)+3*CEILING((DATEDIF($A16,'13-week CF Forecast'!$B$1,"m")+1)/3,1)+(COLUMN()-7)*3,DAY($A16)),$F16="yearly",DATE(YEAR($A16)+CEILING((DATEDIF($A16,'13-week CF Forecast'!$B$1,"y")+1),1)+COLUMN()-7,MONTH($A16),DAY($A16)),TRUE,"")</f>
        <v>46204.0</v>
      </c>
      <c r="T16" t="s" s="1">
        <f><![CDATA[IFERROR(ROWSDUMMYFUNCTION(UNNEST(PAIR2JSON('Recurring Transactions'!$A$1,'Recurring Transactions'!A16,'Recurring Transactions'!$B$1,'Recurring Transactions'!B16,'Recurring Transactions'!$C$1,'Recurring Transactions'!C16,'Recurring Transactions'!$D$1,'Recurring Transactions'!D16,'Recurring Transactions'!$E$1,'Recurring Transactions'!E16,'Recurring Transactions'!$F$1,'Recurring Transactions'!F16,"Payment schedule",VALUE(RANGE2JSON('Recurring Transactions'!F16,'Recurring Transactions'!G16:S16))))),"[{""First payment date"":""2025-01-01"",""Counterparty"":""Easyship"",""Description"":""Easyship"",""Amount"":""$100"",""Category"":""Software"",""Frequency"":""monthly"",""Payment schedule_0"":""2025-07-01""},{""First payment date"":""2025-01-01"",""Counterparty"":""Easyship"",""Description"&""":""Easyship"",""Amount"":""$100"",""Category"":""Software"",""Frequency"":""monthly"",""Payment schedule_0"":""2025-08-01""},{""First payment date"":""2025-01-01"",""Counterparty"":""Easyship"",""Description"":""Easyship"",""Amount"":""$100"",""Category"":""Software"",""Frequency"":""monthly"","""&"Payment schedule_0"":""2025-09-01""},{""First payment date"":""2025-01-01"",""Counterparty"":""Easyship"",""Description"":""Easyship"",""Amount"":""$100"",""Category"":""Software"",""Frequency"":""monthly"",""Payment schedule_0"":""2025-10-01""},{""First payment date"":""2025-01-01"",""Coun"&"terparty"":""Easyship"",""Description"":""Easyship"",""Amount"":""$100"",""Category"":""Software"",""Frequency"":""monthly"",""Payment schedule_0"":""2025-11-01""},{""First payment date"":""2025-01-01"",""Counterparty"":""Easyship"",""Description"":""Easyship"",""Amount"":""$100"",""Category"":"""&"Software"",""Frequency"":""monthly"",""Payment schedule_0"":""2025-12-01""},{""First payment date"":""2025-01-01"",""Counterparty"":""Easyship"",""Description"":""Easyship"",""Amount"":""$100"",""Category"":""Software"",""Frequency"":""monthly"",""Payment schedule_0"":""2026-01-01""},{""First"&" payment date"":""2025-01-01"",""Counterparty"":""Easyship"",""Description"":""Easyship"",""Amount"":""$100"",""Category"":""Software"",""Frequency"":""monthly"",""Payment schedule_0"":""2026-02-01""},{""First payment date"":""2025-01-01"",""Counterparty"":""Easyship"",""Description"":""Easys"&"hip"",""Amount"":""$100"",""Category"":""Software"",""Frequency"":""monthly"",""Payment schedule_0"":""2026-03-01""},{""First payment date"":""2025-01-01"",""Counterparty"":""Easyship"",""Description"":""Easyship"",""Amount"":""$100"",""Category"":""Software"",""Frequency"":""monthly"",""Payment "&"schedule_0"":""2026-04-01""},{""First payment date"":""2025-01-01"",""Counterparty"":""Easyship"",""Description"":""Easyship"",""Amount"":""$100"",""Category"":""Software"",""Frequency"":""monthly"",""Payment schedule_0"":""2026-05-01""},{""First payment date"":""2025-01-01"",""Counterparty"&""":""Easyship"",""Description"":""Easyship"",""Amount"":""$100"",""Category"":""Software"",""Frequency"":""monthly"",""Payment schedule_0"":""2026-06-01""},{""First payment date"":""2025-01-01"",""Counterparty"":""Easyship"",""Description"":""Easyship"",""Amount"":""$100"",""Category"":""Software"&""",""Frequency"":""monthly"",""Payment schedule_0"":""2026-07-01""}]")]]></f>
        <v>143</v>
      </c>
      <c r="U16" t="s" s="1">
        <v>118</v>
      </c>
    </row>
    <row r="17" ht="12.0" customHeight="true">
      <c r="A17" t="n" s="16">
        <v>45658.0</v>
      </c>
      <c r="B17" t="s" s="1">
        <v>144</v>
      </c>
      <c r="C17" t="s" s="1">
        <v>144</v>
      </c>
      <c r="D17" t="n" s="17">
        <v>575.0</v>
      </c>
      <c r="E17" t="s" s="1">
        <v>8</v>
      </c>
      <c r="F17" t="s" s="1">
        <v>111</v>
      </c>
      <c r="G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45839.0</v>
      </c>
      <c r="H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45870.0</v>
      </c>
      <c r="I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45901.0</v>
      </c>
      <c r="J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45931.0</v>
      </c>
      <c r="K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45962.0</v>
      </c>
      <c r="L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45992.0</v>
      </c>
      <c r="M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46023.0</v>
      </c>
      <c r="N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46054.0</v>
      </c>
      <c r="O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46082.0</v>
      </c>
      <c r="P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46113.0</v>
      </c>
      <c r="Q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46143.0</v>
      </c>
      <c r="R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46174.0</v>
      </c>
      <c r="S17" t="n" s="16">
        <f>IFS($F17="bi-weekly",$A17+CEILING(('13-week CF Forecast'!$B$1-$A17)/14,1)*14+14*(COLUMN()-7),$F17="weekly",$A17+CEILING(('13-week CF Forecast'!$B$1-$A17)/7,1)*7+7*(COLUMN()-7),$F17="monthly",DATE(YEAR($A17),MONTH($A17)+CEILING(DATEDIF($A17,'13-week CF Forecast'!$B$1,"m")+1,1)+COLUMN()-7,DAY($A17)),$F17="quarterly",DATE(YEAR($A17),MONTH($A17)+3*CEILING((DATEDIF($A17,'13-week CF Forecast'!$B$1,"m")+1)/3,1)+(COLUMN()-7)*3,DAY($A17)),$F17="yearly",DATE(YEAR($A17)+CEILING((DATEDIF($A17,'13-week CF Forecast'!$B$1,"y")+1),1)+COLUMN()-7,MONTH($A17),DAY($A17)),TRUE,"")</f>
        <v>46204.0</v>
      </c>
      <c r="T17" t="s" s="1">
        <f><![CDATA[IFERROR(ROWSDUMMYFUNCTION(UNNEST(PAIR2JSON('Recurring Transactions'!$A$1,'Recurring Transactions'!A17,'Recurring Transactions'!$B$1,'Recurring Transactions'!B17,'Recurring Transactions'!$C$1,'Recurring Transactions'!C17,'Recurring Transactions'!$D$1,'Recurring Transactions'!D17,'Recurring Transactions'!$E$1,'Recurring Transactions'!E17,'Recurring Transactions'!$F$1,'Recurring Transactions'!F17,"Payment schedule",VALUE(RANGE2JSON('Recurring Transactions'!F17,'Recurring Transactions'!G17:S17))))),"[{""First payment date"":""2025-01-01"",""Counterparty"":""Triplewhale"",""Description"":""Triplewhale"",""Amount"":""$575"",""Category"":""Software"",""Frequency"":""monthly"",""Payment schedule_0"":""2025-07-01""},{""First payment date"":""2025-01-01"",""Counterparty"":""Triplewhale"",""De"&"scription"":""Triplewhale"",""Amount"":""$575"",""Category"":""Software"",""Frequency"":""monthly"",""Payment schedule_0"":""2025-08-01""},{""First payment date"":""2025-01-01"",""Counterparty"":""Triplewhale"",""Description"":""Triplewhale"",""Amount"":""$575"",""Category"":""Software"",""Freq"&"uency"":""monthly"",""Payment schedule_0"":""2025-09-01""},{""First payment date"":""2025-01-01"",""Counterparty"":""Triplewhale"",""Description"":""Triplewhale"",""Amount"":""$575"",""Category"":""Software"",""Frequency"":""monthly"",""Payment schedule_0"":""2025-10-01""},{""First payment "&"date"":""2025-01-01"",""Counterparty"":""Triplewhale"",""Description"":""Triplewhale"",""Amount"":""$575"",""Category"":""Software"",""Frequency"":""monthly"",""Payment schedule_0"":""2025-11-01""},{""First payment date"":""2025-01-01"",""Counterparty"":""Triplewhale"",""Description"":""Tripl"&"ewhale"",""Amount"":""$575"",""Category"":""Software"",""Frequency"":""monthly"",""Payment schedule_0"":""2025-12-01""},{""First payment date"":""2025-01-01"",""Counterparty"":""Triplewhale"",""Description"":""Triplewhale"",""Amount"":""$575"",""Category"":""Software"",""Frequency"":""monthly"","&"""Payment schedule_0"":""2026-01-01""},{""First payment date"":""2025-01-01"",""Counterparty"":""Triplewhale"",""Description"":""Triplewhale"",""Amount"":""$575"",""Category"":""Software"",""Frequency"":""monthly"",""Payment schedule_0"":""2026-02-01""},{""First payment date"":""2025-01-01"&""",""Counterparty"":""Triplewhale"",""Description"":""Triplewhale"",""Amount"":""$575"",""Category"":""Software"",""Frequency"":""monthly"",""Payment schedule_0"":""2026-03-01""},{""First payment date"":""2025-01-01"",""Counterparty"":""Triplewhale"",""Description"":""Triplewhale"",""Amount"":"&"""$575"",""Category"":""Software"",""Frequency"":""monthly"",""Payment schedule_0"":""2026-04-01""},{""First payment date"":""2025-01-01"",""Counterparty"":""Triplewhale"",""Description"":""Triplewhale"",""Amount"":""$575"",""Category"":""Software"",""Frequency"":""monthly"",""Payment schedule"&"_0"":""2026-05-01""},{""First payment date"":""2025-01-01"",""Counterparty"":""Triplewhale"",""Description"":""Triplewhale"",""Amount"":""$575"",""Category"":""Software"",""Frequency"":""monthly"",""Payment schedule_0"":""2026-06-01""},{""First payment date"":""2025-01-01"",""Counterparty"":"&"""Triplewhale"",""Description"":""Triplewhale"",""Amount"":""$575"",""Category"":""Software"",""Frequency"":""monthly"",""Payment schedule_0"":""2026-07-01""}]")]]></f>
        <v>145</v>
      </c>
      <c r="U17" t="s" s="1">
        <v>118</v>
      </c>
    </row>
    <row r="18" ht="12.0" customHeight="true">
      <c r="A18" t="n" s="16">
        <v>45658.0</v>
      </c>
      <c r="B18" t="s" s="1">
        <v>146</v>
      </c>
      <c r="C18" t="s" s="1">
        <v>146</v>
      </c>
      <c r="D18" t="n" s="17">
        <v>279.0</v>
      </c>
      <c r="E18" t="s" s="1">
        <v>8</v>
      </c>
      <c r="F18" t="s" s="1">
        <v>111</v>
      </c>
      <c r="G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45839.0</v>
      </c>
      <c r="H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45870.0</v>
      </c>
      <c r="I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45901.0</v>
      </c>
      <c r="J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45931.0</v>
      </c>
      <c r="K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45962.0</v>
      </c>
      <c r="L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45992.0</v>
      </c>
      <c r="M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46023.0</v>
      </c>
      <c r="N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46054.0</v>
      </c>
      <c r="O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46082.0</v>
      </c>
      <c r="P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46113.0</v>
      </c>
      <c r="Q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46143.0</v>
      </c>
      <c r="R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46174.0</v>
      </c>
      <c r="S18" t="n" s="16">
        <f>IFS($F18="bi-weekly",$A18+CEILING(('13-week CF Forecast'!$B$1-$A18)/14,1)*14+14*(COLUMN()-7),$F18="weekly",$A18+CEILING(('13-week CF Forecast'!$B$1-$A18)/7,1)*7+7*(COLUMN()-7),$F18="monthly",DATE(YEAR($A18),MONTH($A18)+CEILING(DATEDIF($A18,'13-week CF Forecast'!$B$1,"m")+1,1)+COLUMN()-7,DAY($A18)),$F18="quarterly",DATE(YEAR($A18),MONTH($A18)+3*CEILING((DATEDIF($A18,'13-week CF Forecast'!$B$1,"m")+1)/3,1)+(COLUMN()-7)*3,DAY($A18)),$F18="yearly",DATE(YEAR($A18)+CEILING((DATEDIF($A18,'13-week CF Forecast'!$B$1,"y")+1),1)+COLUMN()-7,MONTH($A18),DAY($A18)),TRUE,"")</f>
        <v>46204.0</v>
      </c>
      <c r="T18" t="s" s="1">
        <f><![CDATA[IFERROR(ROWSDUMMYFUNCTION(UNNEST(PAIR2JSON('Recurring Transactions'!$A$1,'Recurring Transactions'!A18,'Recurring Transactions'!$B$1,'Recurring Transactions'!B18,'Recurring Transactions'!$C$1,'Recurring Transactions'!C18,'Recurring Transactions'!$D$1,'Recurring Transactions'!D18,'Recurring Transactions'!$E$1,'Recurring Transactions'!E18,'Recurring Transactions'!$F$1,'Recurring Transactions'!F18,"Payment schedule",VALUE(RANGE2JSON('Recurring Transactions'!F18,'Recurring Transactions'!G18:S18))))),"[{""First payment date"":""2025-01-01"",""Counterparty"":""Adobe"",""Description"":""Adobe"",""Amount"":""$279"",""Category"":""Software"",""Frequency"":""monthly"",""Payment schedule_0"":""2025-07-01""},{""First payment date"":""2025-01-01"",""Counterparty"":""Adobe"",""Description"":""Adobe"""&",""Amount"":""$279"",""Category"":""Software"",""Frequency"":""monthly"",""Payment schedule_0"":""2025-08-01""},{""First payment date"":""2025-01-01"",""Counterparty"":""Adobe"",""Description"":""Adobe"",""Amount"":""$279"",""Category"":""Software"",""Frequency"":""monthly"",""Payment schedule_0"&""":""2025-09-01""},{""First payment date"":""2025-01-01"",""Counterparty"":""Adobe"",""Description"":""Adobe"",""Amount"":""$279"",""Category"":""Software"",""Frequency"":""monthly"",""Payment schedule_0"":""2025-10-01""},{""First payment date"":""2025-01-01"",""Counterparty"":""Adobe"",""Descr"&"iption"":""Adobe"",""Amount"":""$279"",""Category"":""Software"",""Frequency"":""monthly"",""Payment schedule_0"":""2025-11-01""},{""First payment date"":""2025-01-01"",""Counterparty"":""Adobe"",""Description"":""Adobe"",""Amount"":""$279"",""Category"":""Software"",""Frequency"":""monthly"",""Pay"&"ment schedule_0"":""2025-12-01""},{""First payment date"":""2025-01-01"",""Counterparty"":""Adobe"",""Description"":""Adobe"",""Amount"":""$279"",""Category"":""Software"",""Frequency"":""monthly"",""Payment schedule_0"":""2026-01-01""},{""First payment date"":""2025-01-01"",""Counterparty"""&":""Adobe"",""Description"":""Adobe"",""Amount"":""$279"",""Category"":""Software"",""Frequency"":""monthly"",""Payment schedule_0"":""2026-02-01""},{""First payment date"":""2025-01-01"",""Counterparty"":""Adobe"",""Description"":""Adobe"",""Amount"":""$279"",""Category"":""Software"",""Frequency"""&":""monthly"",""Payment schedule_0"":""2026-03-01""},{""First payment date"":""2025-01-01"",""Counterparty"":""Adobe"",""Description"":""Adobe"",""Amount"":""$279"",""Category"":""Software"",""Frequency"":""monthly"",""Payment schedule_0"":""2026-04-01""},{""First payment date"":""2025-01-01"""&",""Counterparty"":""Adobe"",""Description"":""Adobe"",""Amount"":""$279"",""Category"":""Software"",""Frequency"":""monthly"",""Payment schedule_0"":""2026-05-01""},{""First payment date"":""2025-01-01"",""Counterparty"":""Adobe"",""Description"":""Adobe"",""Amount"":""$279"",""Category"":""Softwa"&"re"",""Frequency"":""monthly"",""Payment schedule_0"":""2026-06-01""},{""First payment date"":""2025-01-01"",""Counterparty"":""Adobe"",""Description"":""Adobe"",""Amount"":""$279"",""Category"":""Software"",""Frequency"":""monthly"",""Payment schedule_0"":""2026-07-01""}]")]]></f>
        <v>147</v>
      </c>
      <c r="U18" t="s" s="1">
        <v>118</v>
      </c>
    </row>
    <row r="19" ht="12.0" customHeight="true">
      <c r="A19" t="n" s="16">
        <v>45658.0</v>
      </c>
      <c r="B19" t="s" s="1">
        <v>148</v>
      </c>
      <c r="C19" t="s" s="1">
        <v>148</v>
      </c>
      <c r="D19" t="n" s="17">
        <v>100.0</v>
      </c>
      <c r="E19" t="s" s="1">
        <v>8</v>
      </c>
      <c r="F19" t="s" s="1">
        <v>111</v>
      </c>
      <c r="G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45839.0</v>
      </c>
      <c r="H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45870.0</v>
      </c>
      <c r="I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45901.0</v>
      </c>
      <c r="J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45931.0</v>
      </c>
      <c r="K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45962.0</v>
      </c>
      <c r="L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45992.0</v>
      </c>
      <c r="M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46023.0</v>
      </c>
      <c r="N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46054.0</v>
      </c>
      <c r="O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46082.0</v>
      </c>
      <c r="P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46113.0</v>
      </c>
      <c r="Q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46143.0</v>
      </c>
      <c r="R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46174.0</v>
      </c>
      <c r="S19" t="n" s="16">
        <f>IFS($F19="bi-weekly",$A19+CEILING(('13-week CF Forecast'!$B$1-$A19)/14,1)*14+14*(COLUMN()-7),$F19="weekly",$A19+CEILING(('13-week CF Forecast'!$B$1-$A19)/7,1)*7+7*(COLUMN()-7),$F19="monthly",DATE(YEAR($A19),MONTH($A19)+CEILING(DATEDIF($A19,'13-week CF Forecast'!$B$1,"m")+1,1)+COLUMN()-7,DAY($A19)),$F19="quarterly",DATE(YEAR($A19),MONTH($A19)+3*CEILING((DATEDIF($A19,'13-week CF Forecast'!$B$1,"m")+1)/3,1)+(COLUMN()-7)*3,DAY($A19)),$F19="yearly",DATE(YEAR($A19)+CEILING((DATEDIF($A19,'13-week CF Forecast'!$B$1,"y")+1),1)+COLUMN()-7,MONTH($A19),DAY($A19)),TRUE,"")</f>
        <v>46204.0</v>
      </c>
      <c r="T19" t="s" s="1">
        <f><![CDATA[IFERROR(ROWSDUMMYFUNCTION(UNNEST(PAIR2JSON('Recurring Transactions'!$A$1,'Recurring Transactions'!A19,'Recurring Transactions'!$B$1,'Recurring Transactions'!B19,'Recurring Transactions'!$C$1,'Recurring Transactions'!C19,'Recurring Transactions'!$D$1,'Recurring Transactions'!D19,'Recurring Transactions'!$E$1,'Recurring Transactions'!E19,'Recurring Transactions'!$F$1,'Recurring Transactions'!F19,"Payment schedule",VALUE(RANGE2JSON('Recurring Transactions'!F19,'Recurring Transactions'!G19:S19))))),"[{""First payment date"":""2025-01-01"",""Counterparty"":""Replo"",""Description"":""Replo"",""Amount"":""$100"",""Category"":""Software"",""Frequency"":""monthly"",""Payment schedule_0"":""2025-07-01""},{""First payment date"":""2025-01-01"",""Counterparty"":""Replo"",""Description"":""Replo"""&",""Amount"":""$100"",""Category"":""Software"",""Frequency"":""monthly"",""Payment schedule_0"":""2025-08-01""},{""First payment date"":""2025-01-01"",""Counterparty"":""Replo"",""Description"":""Replo"",""Amount"":""$100"",""Category"":""Software"",""Frequency"":""monthly"",""Payment schedule_0"&""":""2025-09-01""},{""First payment date"":""2025-01-01"",""Counterparty"":""Replo"",""Description"":""Replo"",""Amount"":""$100"",""Category"":""Software"",""Frequency"":""monthly"",""Payment schedule_0"":""2025-10-01""},{""First payment date"":""2025-01-01"",""Counterparty"":""Replo"",""Descr"&"iption"":""Replo"",""Amount"":""$100"",""Category"":""Software"",""Frequency"":""monthly"",""Payment schedule_0"":""2025-11-01""},{""First payment date"":""2025-01-01"",""Counterparty"":""Replo"",""Description"":""Replo"",""Amount"":""$100"",""Category"":""Software"",""Frequency"":""monthly"",""Pay"&"ment schedule_0"":""2025-12-01""},{""First payment date"":""2025-01-01"",""Counterparty"":""Replo"",""Description"":""Replo"",""Amount"":""$100"",""Category"":""Software"",""Frequency"":""monthly"",""Payment schedule_0"":""2026-01-01""},{""First payment date"":""2025-01-01"",""Counterparty"""&":""Replo"",""Description"":""Replo"",""Amount"":""$100"",""Category"":""Software"",""Frequency"":""monthly"",""Payment schedule_0"":""2026-02-01""},{""First payment date"":""2025-01-01"",""Counterparty"":""Replo"",""Description"":""Replo"",""Amount"":""$100"",""Category"":""Software"",""Frequency"""&":""monthly"",""Payment schedule_0"":""2026-03-01""},{""First payment date"":""2025-01-01"",""Counterparty"":""Replo"",""Description"":""Replo"",""Amount"":""$100"",""Category"":""Software"",""Frequency"":""monthly"",""Payment schedule_0"":""2026-04-01""},{""First payment date"":""2025-01-01"""&",""Counterparty"":""Replo"",""Description"":""Replo"",""Amount"":""$100"",""Category"":""Software"",""Frequency"":""monthly"",""Payment schedule_0"":""2026-05-01""},{""First payment date"":""2025-01-01"",""Counterparty"":""Replo"",""Description"":""Replo"",""Amount"":""$100"",""Category"":""Softwa"&"re"",""Frequency"":""monthly"",""Payment schedule_0"":""2026-06-01""},{""First payment date"":""2025-01-01"",""Counterparty"":""Replo"",""Description"":""Replo"",""Amount"":""$100"",""Category"":""Software"",""Frequency"":""monthly"",""Payment schedule_0"":""2026-07-01""}]")]]></f>
        <v>149</v>
      </c>
      <c r="U19" t="s" s="1">
        <v>118</v>
      </c>
    </row>
    <row r="20" ht="12.0" customHeight="true">
      <c r="A20" t="n" s="16">
        <v>45658.0</v>
      </c>
      <c r="B20" t="s" s="1">
        <v>150</v>
      </c>
      <c r="C20" t="s" s="1">
        <v>150</v>
      </c>
      <c r="D20" t="n" s="17">
        <v>100.0</v>
      </c>
      <c r="E20" t="s" s="1">
        <v>8</v>
      </c>
      <c r="F20" t="s" s="1">
        <v>111</v>
      </c>
      <c r="G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45839.0</v>
      </c>
      <c r="H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45870.0</v>
      </c>
      <c r="I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45901.0</v>
      </c>
      <c r="J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45931.0</v>
      </c>
      <c r="K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45962.0</v>
      </c>
      <c r="L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45992.0</v>
      </c>
      <c r="M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46023.0</v>
      </c>
      <c r="N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46054.0</v>
      </c>
      <c r="O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46082.0</v>
      </c>
      <c r="P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46113.0</v>
      </c>
      <c r="Q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46143.0</v>
      </c>
      <c r="R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46174.0</v>
      </c>
      <c r="S20" t="n" s="16">
        <f>IFS($F20="bi-weekly",$A20+CEILING(('13-week CF Forecast'!$B$1-$A20)/14,1)*14+14*(COLUMN()-7),$F20="weekly",$A20+CEILING(('13-week CF Forecast'!$B$1-$A20)/7,1)*7+7*(COLUMN()-7),$F20="monthly",DATE(YEAR($A20),MONTH($A20)+CEILING(DATEDIF($A20,'13-week CF Forecast'!$B$1,"m")+1,1)+COLUMN()-7,DAY($A20)),$F20="quarterly",DATE(YEAR($A20),MONTH($A20)+3*CEILING((DATEDIF($A20,'13-week CF Forecast'!$B$1,"m")+1)/3,1)+(COLUMN()-7)*3,DAY($A20)),$F20="yearly",DATE(YEAR($A20)+CEILING((DATEDIF($A20,'13-week CF Forecast'!$B$1,"y")+1),1)+COLUMN()-7,MONTH($A20),DAY($A20)),TRUE,"")</f>
        <v>46204.0</v>
      </c>
      <c r="T20" t="s" s="1">
        <f><![CDATA[IFERROR(ROWSDUMMYFUNCTION(UNNEST(PAIR2JSON('Recurring Transactions'!$A$1,'Recurring Transactions'!A20,'Recurring Transactions'!$B$1,'Recurring Transactions'!B20,'Recurring Transactions'!$C$1,'Recurring Transactions'!C20,'Recurring Transactions'!$D$1,'Recurring Transactions'!D20,'Recurring Transactions'!$E$1,'Recurring Transactions'!E20,'Recurring Transactions'!$F$1,'Recurring Transactions'!F20,"Payment schedule",VALUE(RANGE2JSON('Recurring Transactions'!F20,'Recurring Transactions'!G20:S20))))),"[{""First payment date"":""2025-01-01"",""Counterparty"":""Gorgias"",""Description"":""Gorgias"",""Amount"":""$100"",""Category"":""Software"",""Frequency"":""monthly"",""Payment schedule_0"":""2025-07-01""},{""First payment date"":""2025-01-01"",""Counterparty"":""Gorgias"",""Description"":"""&"Gorgias"",""Amount"":""$100"",""Category"":""Software"",""Frequency"":""monthly"",""Payment schedule_0"":""2025-08-01""},{""First payment date"":""2025-01-01"",""Counterparty"":""Gorgias"",""Description"":""Gorgias"",""Amount"":""$100"",""Category"":""Software"",""Frequency"":""monthly"",""Paymen"&"t schedule_0"":""2025-09-01""},{""First payment date"":""2025-01-01"",""Counterparty"":""Gorgias"",""Description"":""Gorgias"",""Amount"":""$100"",""Category"":""Software"",""Frequency"":""monthly"",""Payment schedule_0"":""2025-10-01""},{""First payment date"":""2025-01-01"",""Counterparty"&""":""Gorgias"",""Description"":""Gorgias"",""Amount"":""$100"",""Category"":""Software"",""Frequency"":""monthly"",""Payment schedule_0"":""2025-11-01""},{""First payment date"":""2025-01-01"",""Counterparty"":""Gorgias"",""Description"":""Gorgias"",""Amount"":""$100"",""Category"":""Software"",""F"&"requency"":""monthly"",""Payment schedule_0"":""2025-12-01""},{""First payment date"":""2025-01-01"",""Counterparty"":""Gorgias"",""Description"":""Gorgias"",""Amount"":""$100"",""Category"":""Software"",""Frequency"":""monthly"",""Payment schedule_0"":""2026-01-01""},{""First payment date"""&":""2025-01-01"",""Counterparty"":""Gorgias"",""Description"":""Gorgias"",""Amount"":""$100"",""Category"":""Software"",""Frequency"":""monthly"",""Payment schedule_0"":""2026-02-01""},{""First payment date"":""2025-01-01"",""Counterparty"":""Gorgias"",""Description"":""Gorgias"",""Amount"":""$10"&"0"",""Category"":""Software"",""Frequency"":""monthly"",""Payment schedule_0"":""2026-03-01""},{""First payment date"":""2025-01-01"",""Counterparty"":""Gorgias"",""Description"":""Gorgias"",""Amount"":""$100"",""Category"":""Software"",""Frequency"":""monthly"",""Payment schedule_0"":""2026-04"&"-01""},{""First payment date"":""2025-01-01"",""Counterparty"":""Gorgias"",""Description"":""Gorgias"",""Amount"":""$100"",""Category"":""Software"",""Frequency"":""monthly"",""Payment schedule_0"":""2026-05-01""},{""First payment date"":""2025-01-01"",""Counterparty"":""Gorgias"",""Descripti"&"on"":""Gorgias"",""Amount"":""$100"",""Category"":""Software"",""Frequency"":""monthly"",""Payment schedule_0"":""2026-06-01""},{""First payment date"":""2025-01-01"",""Counterparty"":""Gorgias"",""Description"":""Gorgias"",""Amount"":""$100"",""Category"":""Software"",""Frequency"":""monthly"",""P"&"ayment schedule_0"":""2026-07-01""}]")]]></f>
        <v>151</v>
      </c>
      <c r="U20" t="s" s="1">
        <v>118</v>
      </c>
    </row>
    <row r="21">
      <c r="A21" t="n" s="16">
        <v>45658.0</v>
      </c>
      <c r="B21" t="s" s="1">
        <v>152</v>
      </c>
      <c r="C21" t="s" s="1">
        <v>152</v>
      </c>
      <c r="D21" t="n" s="17">
        <v>888.0</v>
      </c>
      <c r="E21" t="s" s="1">
        <v>26</v>
      </c>
      <c r="F21" t="s" s="1">
        <v>111</v>
      </c>
      <c r="G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45839.0</v>
      </c>
      <c r="H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45870.0</v>
      </c>
      <c r="I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45901.0</v>
      </c>
      <c r="J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45931.0</v>
      </c>
      <c r="K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45962.0</v>
      </c>
      <c r="L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45992.0</v>
      </c>
      <c r="M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46023.0</v>
      </c>
      <c r="N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46054.0</v>
      </c>
      <c r="O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46082.0</v>
      </c>
      <c r="P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46113.0</v>
      </c>
      <c r="Q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46143.0</v>
      </c>
      <c r="R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46174.0</v>
      </c>
      <c r="S21" t="n" s="16">
        <f>IFS($F21="bi-weekly",$A21+CEILING(('13-week CF Forecast'!$B$1-$A21)/14,1)*14+14*(COLUMN()-7),$F21="weekly",$A21+CEILING(('13-week CF Forecast'!$B$1-$A21)/7,1)*7+7*(COLUMN()-7),$F21="monthly",DATE(YEAR($A21),MONTH($A21)+CEILING(DATEDIF($A21,'13-week CF Forecast'!$B$1,"m")+1,1)+COLUMN()-7,DAY($A21)),$F21="quarterly",DATE(YEAR($A21),MONTH($A21)+3*CEILING((DATEDIF($A21,'13-week CF Forecast'!$B$1,"m")+1)/3,1)+(COLUMN()-7)*3,DAY($A21)),$F21="yearly",DATE(YEAR($A21)+CEILING((DATEDIF($A21,'13-week CF Forecast'!$B$1,"y")+1),1)+COLUMN()-7,MONTH($A21),DAY($A21)),TRUE,"")</f>
        <v>46204.0</v>
      </c>
      <c r="T21" t="s" s="1">
        <f><![CDATA[IFERROR(ROWSDUMMYFUNCTION(UNNEST(PAIR2JSON('Recurring Transactions'!$A$1,'Recurring Transactions'!A21,'Recurring Transactions'!$B$1,'Recurring Transactions'!B21,'Recurring Transactions'!$C$1,'Recurring Transactions'!C21,'Recurring Transactions'!$D$1,'Recurring Transactions'!D21,'Recurring Transactions'!$E$1,'Recurring Transactions'!E21,'Recurring Transactions'!$F$1,'Recurring Transactions'!F21,"Payment schedule",VALUE(RANGE2JSON('Recurring Transactions'!F21,'Recurring Transactions'!G21:S21))))),"[{""First payment date"":""2025-01-01"",""Counterparty"":""Insurance"",""Description"":""Insurance"",""Amount"":""$888"",""Category"":""Overhead Expenditures"",""Frequency"":""monthly"",""Payment schedule_0"":""2025-07-01""},{""First payment date"":""2025-01-01"",""Counterparty"":""Insuran"&"ce"",""Description"":""Insurance"",""Amount"":""$888"",""Category"":""Overhead Expenditures"",""Frequency"":""monthly"",""Payment schedule_0"":""2025-08-01""},{""First payment date"":""2025-01-01"",""Counterparty"":""Insurance"",""Description"":""Insurance"",""Amount"":""$888"",""Category"":""O"&"verhead Expenditures"",""Frequency"":""monthly"",""Payment schedule_0"":""2025-09-01""},{""First payment date"":""2025-01-01"",""Counterparty"":""Insurance"",""Description"":""Insurance"",""Amount"":""$888"",""Category"":""Overhead Expenditures"",""Frequency"":""monthly"",""Payment schedu"&"le_0"":""2025-10-01""},{""First payment date"":""2025-01-01"",""Counterparty"":""Insurance"",""Description"":""Insurance"",""Amount"":""$888"",""Category"":""Overhead Expenditures"",""Frequency"":""monthly"",""Payment schedule_0"":""2025-11-01""},{""First payment date"":""2025-01-01"",""Cou"&"nterparty"":""Insurance"",""Description"":""Insurance"",""Amount"":""$888"",""Category"":""Overhead Expenditures"",""Frequency"":""monthly"",""Payment schedule_0"":""2025-12-01""},{""First payment date"":""2025-01-01"",""Counterparty"":""Insurance"",""Description"":""Insurance"",""Amount"":"""&"$888"",""Category"":""Overhead Expenditures"",""Frequency"":""monthly"",""Payment schedule_0"":""2026-01-01""},{""First payment date"":""2025-01-01"",""Counterparty"":""Insurance"",""Description"":""Insurance"",""Amount"":""$888"",""Category"":""Overhead Expenditures"",""Frequency"":""month"&"ly"",""Payment schedule_0"":""2026-02-01""},{""First payment date"":""2025-01-01"",""Counterparty"":""Insurance"",""Description"":""Insurance"",""Amount"":""$888"",""Category"":""Overhead Expenditures"",""Frequency"":""monthly"",""Payment schedule_0"":""2026-03-01""},{""First payment date"&""":""2025-01-01"",""Counterparty"":""Insurance"",""Description"":""Insurance"",""Amount"":""$888"",""Category"":""Overhead Expenditures"",""Frequency"":""monthly"",""Payment schedule_0"":""2026-04-01""},{""First payment date"":""2025-01-01"",""Counterparty"":""Insurance"",""Description"":""In"&"surance"",""Amount"":""$888"",""Category"":""Overhead Expenditures"",""Frequency"":""monthly"",""Payment schedule_0"":""2026-05-01""},{""First payment date"":""2025-01-01"",""Counterparty"":""Insurance"",""Description"":""Insurance"",""Amount"":""$888"",""Category"":""Overhead Expenditures"""&",""Frequency"":""monthly"",""Payment schedule_0"":""2026-06-01""},{""First payment date"":""2025-01-01"",""Counterparty"":""Insurance"",""Description"":""Insurance"",""Amount"":""$888"",""Category"":""Overhead Expenditures"",""Frequency"":""monthly"",""Payment schedule_0"":""2026-07-01""}]")]]></f>
        <v>153</v>
      </c>
      <c r="U21" t="s" s="1">
        <v>113</v>
      </c>
    </row>
    <row r="22">
      <c r="A22" t="n" s="18">
        <v>45765.0</v>
      </c>
      <c r="B22" t="s" s="19">
        <v>154</v>
      </c>
      <c r="C22" t="s" s="1">
        <v>21</v>
      </c>
      <c r="D22" t="n" s="20">
        <v>1700.4</v>
      </c>
      <c r="E22" t="s" s="1">
        <v>21</v>
      </c>
      <c r="F22" t="s" s="1">
        <v>155</v>
      </c>
      <c r="G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45835.0</v>
      </c>
      <c r="H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45849.0</v>
      </c>
      <c r="I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45863.0</v>
      </c>
      <c r="J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45877.0</v>
      </c>
      <c r="K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45891.0</v>
      </c>
      <c r="L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45905.0</v>
      </c>
      <c r="M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45919.0</v>
      </c>
      <c r="N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45933.0</v>
      </c>
      <c r="O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45947.0</v>
      </c>
      <c r="P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45961.0</v>
      </c>
      <c r="Q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45975.0</v>
      </c>
      <c r="R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45989.0</v>
      </c>
      <c r="S22" t="n" s="16">
        <f>IFS($F22="bi-weekly",$A22+CEILING(('13-week CF Forecast'!$B$1-$A22)/14,1)*14+14*(COLUMN()-7),$F22="weekly",$A22+CEILING(('13-week CF Forecast'!$B$1-$A22)/7,1)*7+7*(COLUMN()-7),$F22="monthly",DATE(YEAR($A22),MONTH($A22)+CEILING(DATEDIF($A22,'13-week CF Forecast'!$B$1,"m")+1,1)+COLUMN()-7,DAY($A22)),$F22="quarterly",DATE(YEAR($A22),MONTH($A22)+3*CEILING((DATEDIF($A22,'13-week CF Forecast'!$B$1,"m")+1)/3,1)+(COLUMN()-7)*3,DAY($A22)),$F22="yearly",DATE(YEAR($A22)+CEILING((DATEDIF($A22,'13-week CF Forecast'!$B$1,"y")+1),1)+COLUMN()-7,MONTH($A22),DAY($A22)),TRUE,"")</f>
        <v>46003.0</v>
      </c>
      <c r="T22" t="s" s="1">
        <f><![CDATA[IFERROR(ROWSDUMMYFUNCTION(UNNEST(PAIR2JSON('Recurring Transactions'!$A$1,'Recurring Transactions'!A22,'Recurring Transactions'!$B$1,'Recurring Transactions'!B22,'Recurring Transactions'!$C$1,'Recurring Transactions'!C22,'Recurring Transactions'!$D$1,'Recurring Transactions'!D22,'Recurring Transactions'!$E$1,'Recurring Transactions'!E22,'Recurring Transactions'!$F$1,'Recurring Transactions'!F22,"Payment schedule",VALUE(RANGE2JSON('Recurring Transactions'!F22,'Recurring Transactions'!G22:S22))))),"[{""First payment date"":""2025-04-18"",""Counterparty"":""Angel"",""Description"":""Payroll"",""Amount"":""$1700.40"",""Category"":""Payroll"",""Frequency"":""bi-weekly"",""Payment schedule_0"":""2025-06-27""},{""First payment date"":""2025-04-18"",""Counterparty"":""Angel"",""Description"":"&"""Payroll"",""Amount"":""$1700.40"",""Category"":""Payroll"",""Frequency"":""bi-weekly"",""Payment schedule_0"":""2025-07-11""},{""First payment date"":""2025-04-18"",""Counterparty"":""Angel"",""Description"":""Payroll"",""Amount"":""$1700.40"",""Category"":""Payroll"",""Frequency"":""bi-weekly"&""",""Payment schedule_0"":""2025-07-25""},{""First payment date"":""2025-04-18"",""Counterparty"":""Angel"",""Description"":""Payroll"",""Amount"":""$1700.40"",""Category"":""Payroll"",""Frequency"":""bi-weekly"",""Payment schedule_0"":""2025-08-08""},{""First payment date"":""2025-04-18"","""&"Counterparty"":""Angel"",""Description"":""Payroll"",""Amount"":""$1700.40"",""Category"":""Payroll"",""Frequency"":""bi-weekly"",""Payment schedule_0"":""2025-08-22""},{""First payment date"":""2025-04-18"",""Counterparty"":""Angel"",""Description"":""Payroll"",""Amount"":""$1700.40"",""Catego"&"ry"":""Payroll"",""Frequency"":""bi-weekly"",""Payment schedule_0"":""2025-09-05""},{""First payment date"":""2025-04-18"",""Counterparty"":""Angel"",""Description"":""Payroll"",""Amount"":""$1700.40"",""Category"":""Payroll"",""Frequency"":""bi-weekly"",""Payment schedule_0"":""2025-09-19""},"&"{""First payment date"":""2025-04-18"",""Counterparty"":""Angel"",""Description"":""Payroll"",""Amount"":""$1700.40"",""Category"":""Payroll"",""Frequency"":""bi-weekly"",""Payment schedule_0"":""2025-10-03""},{""First payment date"":""2025-04-18"",""Counterparty"":""Angel"",""Description"":"""&"Payroll"",""Amount"":""$1700.40"",""Category"":""Payroll"",""Frequency"":""bi-weekly"",""Payment schedule_0"":""2025-10-17""},{""First payment date"":""2025-04-18"",""Counterparty"":""Angel"",""Description"":""Payroll"",""Amount"":""$1700.40"",""Category"":""Payroll"",""Frequency"":""bi-weekly"""&",""Payment schedule_0"":""2025-10-31""},{""First payment date"":""2025-04-18"",""Counterparty"":""Angel"",""Description"":""Payroll"",""Amount"":""$1700.40"",""Category"":""Payroll"",""Frequency"":""bi-weekly"",""Payment schedule_0"":""2025-11-14""},{""First payment date"":""2025-04-18"",""C"&"ounterparty"":""Angel"",""Description"":""Payroll"",""Amount"":""$1700.40"",""Category"":""Payroll"",""Frequency"":""bi-weekly"",""Payment schedule_0"":""2025-11-28""},{""First payment date"":""2025-04-18"",""Counterparty"":""Angel"",""Description"":""Payroll"",""Amount"":""$1700.40"",""Categor"&"y"":""Payroll"",""Frequency"":""bi-weekly"",""Payment schedule_0"":""2025-12-12""}]")]]></f>
        <v>156</v>
      </c>
      <c r="U22" t="s" s="1">
        <v>113</v>
      </c>
    </row>
    <row r="23">
      <c r="A23" t="n" s="18">
        <v>45765.0</v>
      </c>
      <c r="B23" t="s" s="19">
        <v>157</v>
      </c>
      <c r="C23" t="s" s="1">
        <v>21</v>
      </c>
      <c r="D23" t="n" s="20">
        <v>2829.64</v>
      </c>
      <c r="E23" t="s" s="1">
        <v>21</v>
      </c>
      <c r="F23" t="s" s="1">
        <v>155</v>
      </c>
      <c r="G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45835.0</v>
      </c>
      <c r="H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45849.0</v>
      </c>
      <c r="I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45863.0</v>
      </c>
      <c r="J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45877.0</v>
      </c>
      <c r="K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45891.0</v>
      </c>
      <c r="L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45905.0</v>
      </c>
      <c r="M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45919.0</v>
      </c>
      <c r="N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45933.0</v>
      </c>
      <c r="O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45947.0</v>
      </c>
      <c r="P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45961.0</v>
      </c>
      <c r="Q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45975.0</v>
      </c>
      <c r="R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45989.0</v>
      </c>
      <c r="S23" t="n" s="16">
        <f>IFS($F23="bi-weekly",$A23+CEILING(('13-week CF Forecast'!$B$1-$A23)/14,1)*14+14*(COLUMN()-7),$F23="weekly",$A23+CEILING(('13-week CF Forecast'!$B$1-$A23)/7,1)*7+7*(COLUMN()-7),$F23="monthly",DATE(YEAR($A23),MONTH($A23)+CEILING(DATEDIF($A23,'13-week CF Forecast'!$B$1,"m")+1,1)+COLUMN()-7,DAY($A23)),$F23="quarterly",DATE(YEAR($A23),MONTH($A23)+3*CEILING((DATEDIF($A23,'13-week CF Forecast'!$B$1,"m")+1)/3,1)+(COLUMN()-7)*3,DAY($A23)),$F23="yearly",DATE(YEAR($A23)+CEILING((DATEDIF($A23,'13-week CF Forecast'!$B$1,"y")+1),1)+COLUMN()-7,MONTH($A23),DAY($A23)),TRUE,"")</f>
        <v>46003.0</v>
      </c>
      <c r="T23" t="s" s="1">
        <f><![CDATA[IFERROR(ROWSDUMMYFUNCTION(UNNEST(PAIR2JSON('Recurring Transactions'!$A$1,'Recurring Transactions'!A23,'Recurring Transactions'!$B$1,'Recurring Transactions'!B23,'Recurring Transactions'!$C$1,'Recurring Transactions'!C23,'Recurring Transactions'!$D$1,'Recurring Transactions'!D23,'Recurring Transactions'!$E$1,'Recurring Transactions'!E23,'Recurring Transactions'!$F$1,'Recurring Transactions'!F23,"Payment schedule",VALUE(RANGE2JSON('Recurring Transactions'!F23,'Recurring Transactions'!G23:S23))))),"[{""First payment date"":""2025-04-18"",""Counterparty"":""Allyson"",""Description"":""Payroll"",""Amount"":""$2829.64"",""Category"":""Payroll"",""Frequency"":""bi-weekly"",""Payment schedule_0"":""2025-06-27""},{""First payment date"":""2025-04-18"",""Counterparty"":""Allyson"",""Descripti"&"on"":""Payroll"",""Amount"":""$2829.64"",""Category"":""Payroll"",""Frequency"":""bi-weekly"",""Payment schedule_0"":""2025-07-11""},{""First payment date"":""2025-04-18"",""Counterparty"":""Allyson"",""Description"":""Payroll"",""Amount"":""$2829.64"",""Category"":""Payroll"",""Frequency"":""bi-"&"weekly"",""Payment schedule_0"":""2025-07-25""},{""First payment date"":""2025-04-18"",""Counterparty"":""Allyson"",""Description"":""Payroll"",""Amount"":""$2829.64"",""Category"":""Payroll"",""Frequency"":""bi-weekly"",""Payment schedule_0"":""2025-08-08""},{""First payment date"":""2025-"&"04-18"",""Counterparty"":""Allyson"",""Description"":""Payroll"",""Amount"":""$2829.64"",""Category"":""Payroll"",""Frequency"":""bi-weekly"",""Payment schedule_0"":""2025-08-22""},{""First payment date"":""2025-04-18"",""Counterparty"":""Allyson"",""Description"":""Payroll"",""Amount"":""$2829"&".64"",""Category"":""Payroll"",""Frequency"":""bi-weekly"",""Payment schedule_0"":""2025-09-05""},{""First payment date"":""2025-04-18"",""Counterparty"":""Allyson"",""Description"":""Payroll"",""Amount"":""$2829.64"",""Category"":""Payroll"",""Frequency"":""bi-weekly"",""Payment schedule_0"":"&"""2025-09-19""},{""First payment date"":""2025-04-18"",""Counterparty"":""Allyson"",""Description"":""Payroll"",""Amount"":""$2829.64"",""Category"":""Payroll"",""Frequency"":""bi-weekly"",""Payment schedule_0"":""2025-10-03""},{""First payment date"":""2025-04-18"",""Counterparty"":""Allyso"&"n"",""Description"":""Payroll"",""Amount"":""$2829.64"",""Category"":""Payroll"",""Frequency"":""bi-weekly"",""Payment schedule_0"":""2025-10-17""},{""First payment date"":""2025-04-18"",""Counterparty"":""Allyson"",""Description"":""Payroll"",""Amount"":""$2829.64"",""Category"":""Payroll"",""Fr"&"equency"":""bi-weekly"",""Payment schedule_0"":""2025-10-31""},{""First payment date"":""2025-04-18"",""Counterparty"":""Allyson"",""Description"":""Payroll"",""Amount"":""$2829.64"",""Category"":""Payroll"",""Frequency"":""bi-weekly"",""Payment schedule_0"":""2025-11-14""},{""First payment"&" date"":""2025-04-18"",""Counterparty"":""Allyson"",""Description"":""Payroll"",""Amount"":""$2829.64"",""Category"":""Payroll"",""Frequency"":""bi-weekly"",""Payment schedule_0"":""2025-11-28""},{""First payment date"":""2025-04-18"",""Counterparty"":""Allyson"",""Description"":""Payroll"",""A"&"mount"":""$2829.64"",""Category"":""Payroll"",""Frequency"":""bi-weekly"",""Payment schedule_0"":""2025-12-12""}]")]]></f>
        <v>158</v>
      </c>
      <c r="U23" t="s" s="1">
        <v>113</v>
      </c>
    </row>
    <row r="24">
      <c r="A24" t="n" s="18">
        <v>45765.0</v>
      </c>
      <c r="B24" t="s" s="19">
        <v>159</v>
      </c>
      <c r="C24" t="s" s="1">
        <v>21</v>
      </c>
      <c r="D24" t="n" s="20">
        <v>1700.4</v>
      </c>
      <c r="E24" t="s" s="1">
        <v>21</v>
      </c>
      <c r="F24" t="s" s="1">
        <v>155</v>
      </c>
      <c r="G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45835.0</v>
      </c>
      <c r="H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45849.0</v>
      </c>
      <c r="I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45863.0</v>
      </c>
      <c r="J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45877.0</v>
      </c>
      <c r="K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45891.0</v>
      </c>
      <c r="L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45905.0</v>
      </c>
      <c r="M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45919.0</v>
      </c>
      <c r="N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45933.0</v>
      </c>
      <c r="O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45947.0</v>
      </c>
      <c r="P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45961.0</v>
      </c>
      <c r="Q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45975.0</v>
      </c>
      <c r="R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45989.0</v>
      </c>
      <c r="S24" t="n" s="16">
        <f>IFS($F24="bi-weekly",$A24+CEILING(('13-week CF Forecast'!$B$1-$A24)/14,1)*14+14*(COLUMN()-7),$F24="weekly",$A24+CEILING(('13-week CF Forecast'!$B$1-$A24)/7,1)*7+7*(COLUMN()-7),$F24="monthly",DATE(YEAR($A24),MONTH($A24)+CEILING(DATEDIF($A24,'13-week CF Forecast'!$B$1,"m")+1,1)+COLUMN()-7,DAY($A24)),$F24="quarterly",DATE(YEAR($A24),MONTH($A24)+3*CEILING((DATEDIF($A24,'13-week CF Forecast'!$B$1,"m")+1)/3,1)+(COLUMN()-7)*3,DAY($A24)),$F24="yearly",DATE(YEAR($A24)+CEILING((DATEDIF($A24,'13-week CF Forecast'!$B$1,"y")+1),1)+COLUMN()-7,MONTH($A24),DAY($A24)),TRUE,"")</f>
        <v>46003.0</v>
      </c>
      <c r="T24" t="s" s="1">
        <f><![CDATA[IFERROR(ROWSDUMMYFUNCTION(UNNEST(PAIR2JSON('Recurring Transactions'!$A$1,'Recurring Transactions'!A24,'Recurring Transactions'!$B$1,'Recurring Transactions'!B24,'Recurring Transactions'!$C$1,'Recurring Transactions'!C24,'Recurring Transactions'!$D$1,'Recurring Transactions'!D24,'Recurring Transactions'!$E$1,'Recurring Transactions'!E24,'Recurring Transactions'!$F$1,'Recurring Transactions'!F24,"Payment schedule",VALUE(RANGE2JSON('Recurring Transactions'!F24,'Recurring Transactions'!G24:S24))))),"[{""First payment date"":""2025-04-18"",""Counterparty"":""Eduardo"",""Description"":""Payroll"",""Amount"":""$1700.40"",""Category"":""Payroll"",""Frequency"":""bi-weekly"",""Payment schedule_0"":""2025-06-27""},{""First payment date"":""2025-04-18"",""Counterparty"":""Eduardo"",""Descripti"&"on"":""Payroll"",""Amount"":""$1700.40"",""Category"":""Payroll"",""Frequency"":""bi-weekly"",""Payment schedule_0"":""2025-07-11""},{""First payment date"":""2025-04-18"",""Counterparty"":""Eduardo"",""Description"":""Payroll"",""Amount"":""$1700.40"",""Category"":""Payroll"",""Frequency"":""bi-"&"weekly"",""Payment schedule_0"":""2025-07-25""},{""First payment date"":""2025-04-18"",""Counterparty"":""Eduardo"",""Description"":""Payroll"",""Amount"":""$1700.40"",""Category"":""Payroll"",""Frequency"":""bi-weekly"",""Payment schedule_0"":""2025-08-08""},{""First payment date"":""2025-"&"04-18"",""Counterparty"":""Eduardo"",""Description"":""Payroll"",""Amount"":""$1700.40"",""Category"":""Payroll"",""Frequency"":""bi-weekly"",""Payment schedule_0"":""2025-08-22""},{""First payment date"":""2025-04-18"",""Counterparty"":""Eduardo"",""Description"":""Payroll"",""Amount"":""$1700"&".40"",""Category"":""Payroll"",""Frequency"":""bi-weekly"",""Payment schedule_0"":""2025-09-05""},{""First payment date"":""2025-04-18"",""Counterparty"":""Eduardo"",""Description"":""Payroll"",""Amount"":""$1700.40"",""Category"":""Payroll"",""Frequency"":""bi-weekly"",""Payment schedule_0"":"&"""2025-09-19""},{""First payment date"":""2025-04-18"",""Counterparty"":""Eduardo"",""Description"":""Payroll"",""Amount"":""$1700.40"",""Category"":""Payroll"",""Frequency"":""bi-weekly"",""Payment schedule_0"":""2025-10-03""},{""First payment date"":""2025-04-18"",""Counterparty"":""Eduard"&"o"",""Description"":""Payroll"",""Amount"":""$1700.40"",""Category"":""Payroll"",""Frequency"":""bi-weekly"",""Payment schedule_0"":""2025-10-17""},{""First payment date"":""2025-04-18"",""Counterparty"":""Eduardo"",""Description"":""Payroll"",""Amount"":""$1700.40"",""Category"":""Payroll"",""Fr"&"equency"":""bi-weekly"",""Payment schedule_0"":""2025-10-31""},{""First payment date"":""2025-04-18"",""Counterparty"":""Eduardo"",""Description"":""Payroll"",""Amount"":""$1700.40"",""Category"":""Payroll"",""Frequency"":""bi-weekly"",""Payment schedule_0"":""2025-11-14""},{""First payment"&" date"":""2025-04-18"",""Counterparty"":""Eduardo"",""Description"":""Payroll"",""Amount"":""$1700.40"",""Category"":""Payroll"",""Frequency"":""bi-weekly"",""Payment schedule_0"":""2025-11-28""},{""First payment date"":""2025-04-18"",""Counterparty"":""Eduardo"",""Description"":""Payroll"",""A"&"mount"":""$1700.40"",""Category"":""Payroll"",""Frequency"":""bi-weekly"",""Payment schedule_0"":""2025-12-12""}]")]]></f>
        <v>160</v>
      </c>
      <c r="U24" t="s" s="1">
        <v>113</v>
      </c>
    </row>
    <row r="25">
      <c r="A25" t="n" s="18">
        <v>45765.0</v>
      </c>
      <c r="B25" t="s" s="19">
        <v>161</v>
      </c>
      <c r="C25" t="s" s="1">
        <v>21</v>
      </c>
      <c r="D25" t="n" s="20">
        <v>2829.64</v>
      </c>
      <c r="E25" t="s" s="1">
        <v>21</v>
      </c>
      <c r="F25" t="s" s="1">
        <v>155</v>
      </c>
      <c r="G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45835.0</v>
      </c>
      <c r="H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45849.0</v>
      </c>
      <c r="I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45863.0</v>
      </c>
      <c r="J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45877.0</v>
      </c>
      <c r="K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45891.0</v>
      </c>
      <c r="L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45905.0</v>
      </c>
      <c r="M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45919.0</v>
      </c>
      <c r="N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45933.0</v>
      </c>
      <c r="O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45947.0</v>
      </c>
      <c r="P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45961.0</v>
      </c>
      <c r="Q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45975.0</v>
      </c>
      <c r="R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45989.0</v>
      </c>
      <c r="S25" t="n" s="16">
        <f>IFS($F25="bi-weekly",$A25+CEILING(('13-week CF Forecast'!$B$1-$A25)/14,1)*14+14*(COLUMN()-7),$F25="weekly",$A25+CEILING(('13-week CF Forecast'!$B$1-$A25)/7,1)*7+7*(COLUMN()-7),$F25="monthly",DATE(YEAR($A25),MONTH($A25)+CEILING(DATEDIF($A25,'13-week CF Forecast'!$B$1,"m")+1,1)+COLUMN()-7,DAY($A25)),$F25="quarterly",DATE(YEAR($A25),MONTH($A25)+3*CEILING((DATEDIF($A25,'13-week CF Forecast'!$B$1,"m")+1)/3,1)+(COLUMN()-7)*3,DAY($A25)),$F25="yearly",DATE(YEAR($A25)+CEILING((DATEDIF($A25,'13-week CF Forecast'!$B$1,"y")+1),1)+COLUMN()-7,MONTH($A25),DAY($A25)),TRUE,"")</f>
        <v>46003.0</v>
      </c>
      <c r="T25" t="s" s="1">
        <f><![CDATA[IFERROR(ROWSDUMMYFUNCTION(UNNEST(PAIR2JSON('Recurring Transactions'!$A$1,'Recurring Transactions'!A25,'Recurring Transactions'!$B$1,'Recurring Transactions'!B25,'Recurring Transactions'!$C$1,'Recurring Transactions'!C25,'Recurring Transactions'!$D$1,'Recurring Transactions'!D25,'Recurring Transactions'!$E$1,'Recurring Transactions'!E25,'Recurring Transactions'!$F$1,'Recurring Transactions'!F25,"Payment schedule",VALUE(RANGE2JSON('Recurring Transactions'!F25,'Recurring Transactions'!G25:S25))))),"[{""First payment date"":""2025-04-18"",""Counterparty"":""Michael"",""Description"":""Payroll"",""Amount"":""$2829.64"",""Category"":""Payroll"",""Frequency"":""bi-weekly"",""Payment schedule_0"":""2025-06-27""},{""First payment date"":""2025-04-18"",""Counterparty"":""Michael"",""Descripti"&"on"":""Payroll"",""Amount"":""$2829.64"",""Category"":""Payroll"",""Frequency"":""bi-weekly"",""Payment schedule_0"":""2025-07-11""},{""First payment date"":""2025-04-18"",""Counterparty"":""Michael"",""Description"":""Payroll"",""Amount"":""$2829.64"",""Category"":""Payroll"",""Frequency"":""bi-"&"weekly"",""Payment schedule_0"":""2025-07-25""},{""First payment date"":""2025-04-18"",""Counterparty"":""Michael"",""Description"":""Payroll"",""Amount"":""$2829.64"",""Category"":""Payroll"",""Frequency"":""bi-weekly"",""Payment schedule_0"":""2025-08-08""},{""First payment date"":""2025-"&"04-18"",""Counterparty"":""Michael"",""Description"":""Payroll"",""Amount"":""$2829.64"",""Category"":""Payroll"",""Frequency"":""bi-weekly"",""Payment schedule_0"":""2025-08-22""},{""First payment date"":""2025-04-18"",""Counterparty"":""Michael"",""Description"":""Payroll"",""Amount"":""$2829"&".64"",""Category"":""Payroll"",""Frequency"":""bi-weekly"",""Payment schedule_0"":""2025-09-05""},{""First payment date"":""2025-04-18"",""Counterparty"":""Michael"",""Description"":""Payroll"",""Amount"":""$2829.64"",""Category"":""Payroll"",""Frequency"":""bi-weekly"",""Payment schedule_0"":"&"""2025-09-19""},{""First payment date"":""2025-04-18"",""Counterparty"":""Michael"",""Description"":""Payroll"",""Amount"":""$2829.64"",""Category"":""Payroll"",""Frequency"":""bi-weekly"",""Payment schedule_0"":""2025-10-03""},{""First payment date"":""2025-04-18"",""Counterparty"":""Michae"&"l"",""Description"":""Payroll"",""Amount"":""$2829.64"",""Category"":""Payroll"",""Frequency"":""bi-weekly"",""Payment schedule_0"":""2025-10-17""},{""First payment date"":""2025-04-18"",""Counterparty"":""Michael"",""Description"":""Payroll"",""Amount"":""$2829.64"",""Category"":""Payroll"",""Fr"&"equency"":""bi-weekly"",""Payment schedule_0"":""2025-10-31""},{""First payment date"":""2025-04-18"",""Counterparty"":""Michael"",""Description"":""Payroll"",""Amount"":""$2829.64"",""Category"":""Payroll"",""Frequency"":""bi-weekly"",""Payment schedule_0"":""2025-11-14""},{""First payment"&" date"":""2025-04-18"",""Counterparty"":""Michael"",""Description"":""Payroll"",""Amount"":""$2829.64"",""Category"":""Payroll"",""Frequency"":""bi-weekly"",""Payment schedule_0"":""2025-11-28""},{""First payment date"":""2025-04-18"",""Counterparty"":""Michael"",""Description"":""Payroll"",""A"&"mount"":""$2829.64"",""Category"":""Payroll"",""Frequency"":""bi-weekly"",""Payment schedule_0"":""2025-12-12""}]")]]></f>
        <v>162</v>
      </c>
      <c r="U25" t="s" s="1">
        <v>113</v>
      </c>
    </row>
    <row r="26">
      <c r="A26" t="n" s="18">
        <v>45765.0</v>
      </c>
      <c r="B26" t="s" s="19">
        <v>163</v>
      </c>
      <c r="C26" t="s" s="1">
        <v>21</v>
      </c>
      <c r="D26" t="n" s="20">
        <v>2267.2</v>
      </c>
      <c r="E26" t="s" s="1">
        <v>21</v>
      </c>
      <c r="F26" t="s" s="1">
        <v>155</v>
      </c>
      <c r="G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45835.0</v>
      </c>
      <c r="H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45849.0</v>
      </c>
      <c r="I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45863.0</v>
      </c>
      <c r="J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45877.0</v>
      </c>
      <c r="K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45891.0</v>
      </c>
      <c r="L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45905.0</v>
      </c>
      <c r="M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45919.0</v>
      </c>
      <c r="N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45933.0</v>
      </c>
      <c r="O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45947.0</v>
      </c>
      <c r="P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45961.0</v>
      </c>
      <c r="Q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45975.0</v>
      </c>
      <c r="R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45989.0</v>
      </c>
      <c r="S26" t="n" s="16">
        <f>IFS($F26="bi-weekly",$A26+CEILING(('13-week CF Forecast'!$B$1-$A26)/14,1)*14+14*(COLUMN()-7),$F26="weekly",$A26+CEILING(('13-week CF Forecast'!$B$1-$A26)/7,1)*7+7*(COLUMN()-7),$F26="monthly",DATE(YEAR($A26),MONTH($A26)+CEILING(DATEDIF($A26,'13-week CF Forecast'!$B$1,"m")+1,1)+COLUMN()-7,DAY($A26)),$F26="quarterly",DATE(YEAR($A26),MONTH($A26)+3*CEILING((DATEDIF($A26,'13-week CF Forecast'!$B$1,"m")+1)/3,1)+(COLUMN()-7)*3,DAY($A26)),$F26="yearly",DATE(YEAR($A26)+CEILING((DATEDIF($A26,'13-week CF Forecast'!$B$1,"y")+1),1)+COLUMN()-7,MONTH($A26),DAY($A26)),TRUE,"")</f>
        <v>46003.0</v>
      </c>
      <c r="T26" t="s" s="1">
        <f><![CDATA[IFERROR(ROWSDUMMYFUNCTION(UNNEST(PAIR2JSON('Recurring Transactions'!$A$1,'Recurring Transactions'!A26,'Recurring Transactions'!$B$1,'Recurring Transactions'!B26,'Recurring Transactions'!$C$1,'Recurring Transactions'!C26,'Recurring Transactions'!$D$1,'Recurring Transactions'!D26,'Recurring Transactions'!$E$1,'Recurring Transactions'!E26,'Recurring Transactions'!$F$1,'Recurring Transactions'!F26,"Payment schedule",VALUE(RANGE2JSON('Recurring Transactions'!F26,'Recurring Transactions'!G26:S26))))),"[{""First payment date"":""2025-04-18"",""Counterparty"":""Ruben"",""Description"":""Payroll"",""Amount"":""$2267.20"",""Category"":""Payroll"",""Frequency"":""bi-weekly"",""Payment schedule_0"":""2025-06-27""},{""First payment date"":""2025-04-18"",""Counterparty"":""Ruben"",""Description"":"&"""Payroll"",""Amount"":""$2267.20"",""Category"":""Payroll"",""Frequency"":""bi-weekly"",""Payment schedule_0"":""2025-07-11""},{""First payment date"":""2025-04-18"",""Counterparty"":""Ruben"",""Description"":""Payroll"",""Amount"":""$2267.20"",""Category"":""Payroll"",""Frequency"":""bi-weekly"&""",""Payment schedule_0"":""2025-07-25""},{""First payment date"":""2025-04-18"",""Counterparty"":""Ruben"",""Description"":""Payroll"",""Amount"":""$2267.20"",""Category"":""Payroll"",""Frequency"":""bi-weekly"",""Payment schedule_0"":""2025-08-08""},{""First payment date"":""2025-04-18"","""&"Counterparty"":""Ruben"",""Description"":""Payroll"",""Amount"":""$2267.20"",""Category"":""Payroll"",""Frequency"":""bi-weekly"",""Payment schedule_0"":""2025-08-22""},{""First payment date"":""2025-04-18"",""Counterparty"":""Ruben"",""Description"":""Payroll"",""Amount"":""$2267.20"",""Catego"&"ry"":""Payroll"",""Frequency"":""bi-weekly"",""Payment schedule_0"":""2025-09-05""},{""First payment date"":""2025-04-18"",""Counterparty"":""Ruben"",""Description"":""Payroll"",""Amount"":""$2267.20"",""Category"":""Payroll"",""Frequency"":""bi-weekly"",""Payment schedule_0"":""2025-09-19""},"&"{""First payment date"":""2025-04-18"",""Counterparty"":""Ruben"",""Description"":""Payroll"",""Amount"":""$2267.20"",""Category"":""Payroll"",""Frequency"":""bi-weekly"",""Payment schedule_0"":""2025-10-03""},{""First payment date"":""2025-04-18"",""Counterparty"":""Ruben"",""Description"":"""&"Payroll"",""Amount"":""$2267.20"",""Category"":""Payroll"",""Frequency"":""bi-weekly"",""Payment schedule_0"":""2025-10-17""},{""First payment date"":""2025-04-18"",""Counterparty"":""Ruben"",""Description"":""Payroll"",""Amount"":""$2267.20"",""Category"":""Payroll"",""Frequency"":""bi-weekly"""&",""Payment schedule_0"":""2025-10-31""},{""First payment date"":""2025-04-18"",""Counterparty"":""Ruben"",""Description"":""Payroll"",""Amount"":""$2267.20"",""Category"":""Payroll"",""Frequency"":""bi-weekly"",""Payment schedule_0"":""2025-11-14""},{""First payment date"":""2025-04-18"",""C"&"ounterparty"":""Ruben"",""Description"":""Payroll"",""Amount"":""$2267.20"",""Category"":""Payroll"",""Frequency"":""bi-weekly"",""Payment schedule_0"":""2025-11-28""},{""First payment date"":""2025-04-18"",""Counterparty"":""Ruben"",""Description"":""Payroll"",""Amount"":""$2267.20"",""Categor"&"y"":""Payroll"",""Frequency"":""bi-weekly"",""Payment schedule_0"":""2025-12-12""}]")]]></f>
        <v>164</v>
      </c>
      <c r="U26" t="s" s="1">
        <v>113</v>
      </c>
    </row>
    <row r="27">
      <c r="A27" t="n" s="18">
        <v>45765.0</v>
      </c>
      <c r="B27" t="s" s="19">
        <v>165</v>
      </c>
      <c r="C27" t="s" s="1">
        <v>21</v>
      </c>
      <c r="D27" t="n" s="20">
        <v>2515.72</v>
      </c>
      <c r="E27" t="s" s="1">
        <v>21</v>
      </c>
      <c r="F27" t="s" s="1">
        <v>155</v>
      </c>
      <c r="G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45835.0</v>
      </c>
      <c r="H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45849.0</v>
      </c>
      <c r="I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45863.0</v>
      </c>
      <c r="J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45877.0</v>
      </c>
      <c r="K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45891.0</v>
      </c>
      <c r="L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45905.0</v>
      </c>
      <c r="M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45919.0</v>
      </c>
      <c r="N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45933.0</v>
      </c>
      <c r="O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45947.0</v>
      </c>
      <c r="P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45961.0</v>
      </c>
      <c r="Q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45975.0</v>
      </c>
      <c r="R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45989.0</v>
      </c>
      <c r="S27" t="n" s="16">
        <f>IFS($F27="bi-weekly",$A27+CEILING(('13-week CF Forecast'!$B$1-$A27)/14,1)*14+14*(COLUMN()-7),$F27="weekly",$A27+CEILING(('13-week CF Forecast'!$B$1-$A27)/7,1)*7+7*(COLUMN()-7),$F27="monthly",DATE(YEAR($A27),MONTH($A27)+CEILING(DATEDIF($A27,'13-week CF Forecast'!$B$1,"m")+1,1)+COLUMN()-7,DAY($A27)),$F27="quarterly",DATE(YEAR($A27),MONTH($A27)+3*CEILING((DATEDIF($A27,'13-week CF Forecast'!$B$1,"m")+1)/3,1)+(COLUMN()-7)*3,DAY($A27)),$F27="yearly",DATE(YEAR($A27)+CEILING((DATEDIF($A27,'13-week CF Forecast'!$B$1,"y")+1),1)+COLUMN()-7,MONTH($A27),DAY($A27)),TRUE,"")</f>
        <v>46003.0</v>
      </c>
      <c r="T27" t="s" s="1">
        <f><![CDATA[IFERROR(ROWSDUMMYFUNCTION(UNNEST(PAIR2JSON('Recurring Transactions'!$A$1,'Recurring Transactions'!A27,'Recurring Transactions'!$B$1,'Recurring Transactions'!B27,'Recurring Transactions'!$C$1,'Recurring Transactions'!C27,'Recurring Transactions'!$D$1,'Recurring Transactions'!D27,'Recurring Transactions'!$E$1,'Recurring Transactions'!E27,'Recurring Transactions'!$F$1,'Recurring Transactions'!F27,"Payment schedule",VALUE(RANGE2JSON('Recurring Transactions'!F27,'Recurring Transactions'!G27:S27))))),"[{""First payment date"":""2025-04-18"",""Counterparty"":""Lisa"",""Description"":""Payroll"",""Amount"":""$2515.72"",""Category"":""Payroll"",""Frequency"":""bi-weekly"",""Payment schedule_0"":""2025-06-27""},{""First payment date"":""2025-04-18"",""Counterparty"":""Lisa"",""Description"":""P"&"ayroll"",""Amount"":""$2515.72"",""Category"":""Payroll"",""Frequency"":""bi-weekly"",""Payment schedule_0"":""2025-07-11""},{""First payment date"":""2025-04-18"",""Counterparty"":""Lisa"",""Description"":""Payroll"",""Amount"":""$2515.72"",""Category"":""Payroll"",""Frequency"":""bi-weekly"","""&"Payment schedule_0"":""2025-07-25""},{""First payment date"":""2025-04-18"",""Counterparty"":""Lisa"",""Description"":""Payroll"",""Amount"":""$2515.72"",""Category"":""Payroll"",""Frequency"":""bi-weekly"",""Payment schedule_0"":""2025-08-08""},{""First payment date"":""2025-04-18"",""Coun"&"terparty"":""Lisa"",""Description"":""Payroll"",""Amount"":""$2515.72"",""Category"":""Payroll"",""Frequency"":""bi-weekly"",""Payment schedule_0"":""2025-08-22""},{""First payment date"":""2025-04-18"",""Counterparty"":""Lisa"",""Description"":""Payroll"",""Amount"":""$2515.72"",""Category"":""P"&"ayroll"",""Frequency"":""bi-weekly"",""Payment schedule_0"":""2025-09-05""},{""First payment date"":""2025-04-18"",""Counterparty"":""Lisa"",""Description"":""Payroll"",""Amount"":""$2515.72"",""Category"":""Payroll"",""Frequency"":""bi-weekly"",""Payment schedule_0"":""2025-09-19""},{""First"&" payment date"":""2025-04-18"",""Counterparty"":""Lisa"",""Description"":""Payroll"",""Amount"":""$2515.72"",""Category"":""Payroll"",""Frequency"":""bi-weekly"",""Payment schedule_0"":""2025-10-03""},{""First payment date"":""2025-04-18"",""Counterparty"":""Lisa"",""Description"":""Payroll"","&"""Amount"":""$2515.72"",""Category"":""Payroll"",""Frequency"":""bi-weekly"",""Payment schedule_0"":""2025-10-17""},{""First payment date"":""2025-04-18"",""Counterparty"":""Lisa"",""Description"":""Payroll"",""Amount"":""$2515.72"",""Category"":""Payroll"",""Frequency"":""bi-weekly"",""Payment "&"schedule_0"":""2025-10-31""},{""First payment date"":""2025-04-18"",""Counterparty"":""Lisa"",""Description"":""Payroll"",""Amount"":""$2515.72"",""Category"":""Payroll"",""Frequency"":""bi-weekly"",""Payment schedule_0"":""2025-11-14""},{""First payment date"":""2025-04-18"",""Counterparty"&""":""Lisa"",""Description"":""Payroll"",""Amount"":""$2515.72"",""Category"":""Payroll"",""Frequency"":""bi-weekly"",""Payment schedule_0"":""2025-11-28""},{""First payment date"":""2025-04-18"",""Counterparty"":""Lisa"",""Description"":""Payroll"",""Amount"":""$2515.72"",""Category"":""Payroll"","&"""Frequency"":""bi-weekly"",""Payment schedule_0"":""2025-12-12""}]")]]></f>
        <v>166</v>
      </c>
      <c r="U27" t="s" s="1">
        <v>113</v>
      </c>
    </row>
    <row r="28">
      <c r="A28" t="n" s="18">
        <v>45765.0</v>
      </c>
      <c r="B28" t="s" s="19">
        <v>167</v>
      </c>
      <c r="C28" t="s" s="1">
        <v>21</v>
      </c>
      <c r="D28" t="n" s="20">
        <v>2515.72</v>
      </c>
      <c r="E28" t="s" s="1">
        <v>21</v>
      </c>
      <c r="F28" t="s" s="1">
        <v>155</v>
      </c>
      <c r="G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45835.0</v>
      </c>
      <c r="H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45849.0</v>
      </c>
      <c r="I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45863.0</v>
      </c>
      <c r="J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45877.0</v>
      </c>
      <c r="K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45891.0</v>
      </c>
      <c r="L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45905.0</v>
      </c>
      <c r="M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45919.0</v>
      </c>
      <c r="N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45933.0</v>
      </c>
      <c r="O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45947.0</v>
      </c>
      <c r="P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45961.0</v>
      </c>
      <c r="Q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45975.0</v>
      </c>
      <c r="R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45989.0</v>
      </c>
      <c r="S28" t="n" s="16">
        <f>IFS($F28="bi-weekly",$A28+CEILING(('13-week CF Forecast'!$B$1-$A28)/14,1)*14+14*(COLUMN()-7),$F28="weekly",$A28+CEILING(('13-week CF Forecast'!$B$1-$A28)/7,1)*7+7*(COLUMN()-7),$F28="monthly",DATE(YEAR($A28),MONTH($A28)+CEILING(DATEDIF($A28,'13-week CF Forecast'!$B$1,"m")+1,1)+COLUMN()-7,DAY($A28)),$F28="quarterly",DATE(YEAR($A28),MONTH($A28)+3*CEILING((DATEDIF($A28,'13-week CF Forecast'!$B$1,"m")+1)/3,1)+(COLUMN()-7)*3,DAY($A28)),$F28="yearly",DATE(YEAR($A28)+CEILING((DATEDIF($A28,'13-week CF Forecast'!$B$1,"y")+1),1)+COLUMN()-7,MONTH($A28),DAY($A28)),TRUE,"")</f>
        <v>46003.0</v>
      </c>
      <c r="T28" t="s" s="1">
        <f><![CDATA[IFERROR(ROWSDUMMYFUNCTION(UNNEST(PAIR2JSON('Recurring Transactions'!$A$1,'Recurring Transactions'!A28,'Recurring Transactions'!$B$1,'Recurring Transactions'!B28,'Recurring Transactions'!$C$1,'Recurring Transactions'!C28,'Recurring Transactions'!$D$1,'Recurring Transactions'!D28,'Recurring Transactions'!$E$1,'Recurring Transactions'!E28,'Recurring Transactions'!$F$1,'Recurring Transactions'!F28,"Payment schedule",VALUE(RANGE2JSON('Recurring Transactions'!F28,'Recurring Transactions'!G28:S28))))),"[{""First payment date"":""2025-04-18"",""Counterparty"":""Randall"",""Description"":""Payroll"",""Amount"":""$2515.72"",""Category"":""Payroll"",""Frequency"":""bi-weekly"",""Payment schedule_0"":""2025-06-27""},{""First payment date"":""2025-04-18"",""Counterparty"":""Randall"",""Descripti"&"on"":""Payroll"",""Amount"":""$2515.72"",""Category"":""Payroll"",""Frequency"":""bi-weekly"",""Payment schedule_0"":""2025-07-11""},{""First payment date"":""2025-04-18"",""Counterparty"":""Randall"",""Description"":""Payroll"",""Amount"":""$2515.72"",""Category"":""Payroll"",""Frequency"":""bi-"&"weekly"",""Payment schedule_0"":""2025-07-25""},{""First payment date"":""2025-04-18"",""Counterparty"":""Randall"",""Description"":""Payroll"",""Amount"":""$2515.72"",""Category"":""Payroll"",""Frequency"":""bi-weekly"",""Payment schedule_0"":""2025-08-08""},{""First payment date"":""2025-"&"04-18"",""Counterparty"":""Randall"",""Description"":""Payroll"",""Amount"":""$2515.72"",""Category"":""Payroll"",""Frequency"":""bi-weekly"",""Payment schedule_0"":""2025-08-22""},{""First payment date"":""2025-04-18"",""Counterparty"":""Randall"",""Description"":""Payroll"",""Amount"":""$2515"&".72"",""Category"":""Payroll"",""Frequency"":""bi-weekly"",""Payment schedule_0"":""2025-09-05""},{""First payment date"":""2025-04-18"",""Counterparty"":""Randall"",""Description"":""Payroll"",""Amount"":""$2515.72"",""Category"":""Payroll"",""Frequency"":""bi-weekly"",""Payment schedule_0"":"&"""2025-09-19""},{""First payment date"":""2025-04-18"",""Counterparty"":""Randall"",""Description"":""Payroll"",""Amount"":""$2515.72"",""Category"":""Payroll"",""Frequency"":""bi-weekly"",""Payment schedule_0"":""2025-10-03""},{""First payment date"":""2025-04-18"",""Counterparty"":""Randal"&"l"",""Description"":""Payroll"",""Amount"":""$2515.72"",""Category"":""Payroll"",""Frequency"":""bi-weekly"",""Payment schedule_0"":""2025-10-17""},{""First payment date"":""2025-04-18"",""Counterparty"":""Randall"",""Description"":""Payroll"",""Amount"":""$2515.72"",""Category"":""Payroll"",""Fr"&"equency"":""bi-weekly"",""Payment schedule_0"":""2025-10-31""},{""First payment date"":""2025-04-18"",""Counterparty"":""Randall"",""Description"":""Payroll"",""Amount"":""$2515.72"",""Category"":""Payroll"",""Frequency"":""bi-weekly"",""Payment schedule_0"":""2025-11-14""},{""First payment"&" date"":""2025-04-18"",""Counterparty"":""Randall"",""Description"":""Payroll"",""Amount"":""$2515.72"",""Category"":""Payroll"",""Frequency"":""bi-weekly"",""Payment schedule_0"":""2025-11-28""},{""First payment date"":""2025-04-18"",""Counterparty"":""Randall"",""Description"":""Payroll"",""A"&"mount"":""$2515.72"",""Category"":""Payroll"",""Frequency"":""bi-weekly"",""Payment schedule_0"":""2025-12-12""}]")]]></f>
        <v>168</v>
      </c>
      <c r="U28" t="s" s="1">
        <v>113</v>
      </c>
    </row>
    <row r="29">
      <c r="A29" t="n" s="18">
        <v>45765.0</v>
      </c>
      <c r="B29" t="s" s="19">
        <v>169</v>
      </c>
      <c r="C29" t="s" s="1">
        <v>21</v>
      </c>
      <c r="D29" t="n" s="20">
        <v>5240.72</v>
      </c>
      <c r="E29" t="s" s="1">
        <v>21</v>
      </c>
      <c r="F29" t="s" s="1">
        <v>155</v>
      </c>
      <c r="G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45835.0</v>
      </c>
      <c r="H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45849.0</v>
      </c>
      <c r="I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45863.0</v>
      </c>
      <c r="J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45877.0</v>
      </c>
      <c r="K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45891.0</v>
      </c>
      <c r="L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45905.0</v>
      </c>
      <c r="M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45919.0</v>
      </c>
      <c r="N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45933.0</v>
      </c>
      <c r="O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45947.0</v>
      </c>
      <c r="P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45961.0</v>
      </c>
      <c r="Q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45975.0</v>
      </c>
      <c r="R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45989.0</v>
      </c>
      <c r="S29" t="n" s="16">
        <f>IFS($F29="bi-weekly",$A29+CEILING(('13-week CF Forecast'!$B$1-$A29)/14,1)*14+14*(COLUMN()-7),$F29="weekly",$A29+CEILING(('13-week CF Forecast'!$B$1-$A29)/7,1)*7+7*(COLUMN()-7),$F29="monthly",DATE(YEAR($A29),MONTH($A29)+CEILING(DATEDIF($A29,'13-week CF Forecast'!$B$1,"m")+1,1)+COLUMN()-7,DAY($A29)),$F29="quarterly",DATE(YEAR($A29),MONTH($A29)+3*CEILING((DATEDIF($A29,'13-week CF Forecast'!$B$1,"m")+1)/3,1)+(COLUMN()-7)*3,DAY($A29)),$F29="yearly",DATE(YEAR($A29)+CEILING((DATEDIF($A29,'13-week CF Forecast'!$B$1,"y")+1),1)+COLUMN()-7,MONTH($A29),DAY($A29)),TRUE,"")</f>
        <v>46003.0</v>
      </c>
      <c r="T29" t="s" s="1">
        <f><![CDATA[IFERROR(ROWSDUMMYFUNCTION(UNNEST(PAIR2JSON('Recurring Transactions'!$A$1,'Recurring Transactions'!A29,'Recurring Transactions'!$B$1,'Recurring Transactions'!B29,'Recurring Transactions'!$C$1,'Recurring Transactions'!C29,'Recurring Transactions'!$D$1,'Recurring Transactions'!D29,'Recurring Transactions'!$E$1,'Recurring Transactions'!E29,'Recurring Transactions'!$F$1,'Recurring Transactions'!F29,"Payment schedule",VALUE(RANGE2JSON('Recurring Transactions'!F29,'Recurring Transactions'!G29:S29))))),"[{""First payment date"":""2025-04-18"",""Counterparty"":""Katarzyna"",""Description"":""Payroll"",""Amount"":""$5240.72"",""Category"":""Payroll"",""Frequency"":""bi-weekly"",""Payment schedule_0"":""2025-06-27""},{""First payment date"":""2025-04-18"",""Counterparty"":""Katarzyna"",""Descr"&"iption"":""Payroll"",""Amount"":""$5240.72"",""Category"":""Payroll"",""Frequency"":""bi-weekly"",""Payment schedule_0"":""2025-07-11""},{""First payment date"":""2025-04-18"",""Counterparty"":""Katarzyna"",""Description"":""Payroll"",""Amount"":""$5240.72"",""Category"":""Payroll"",""Frequency"&""":""bi-weekly"",""Payment schedule_0"":""2025-07-25""},{""First payment date"":""2025-04-18"",""Counterparty"":""Katarzyna"",""Description"":""Payroll"",""Amount"":""$5240.72"",""Category"":""Payroll"",""Frequency"":""bi-weekly"",""Payment schedule_0"":""2025-08-08""},{""First payment date"&""":""2025-04-18"",""Counterparty"":""Katarzyna"",""Description"":""Payroll"",""Amount"":""$5240.72"",""Category"":""Payroll"",""Frequency"":""bi-weekly"",""Payment schedule_0"":""2025-08-22""},{""First payment date"":""2025-04-18"",""Counterparty"":""Katarzyna"",""Description"":""Payroll"",""Am"&"ount"":""$5240.72"",""Category"":""Payroll"",""Frequency"":""bi-weekly"",""Payment schedule_0"":""2025-09-05""},{""First payment date"":""2025-04-18"",""Counterparty"":""Katarzyna"",""Description"":""Payroll"",""Amount"":""$5240.72"",""Category"":""Payroll"",""Frequency"":""bi-weekly"",""Paymen"&"t schedule_0"":""2025-09-19""},{""First payment date"":""2025-04-18"",""Counterparty"":""Katarzyna"",""Description"":""Payroll"",""Amount"":""$5240.72"",""Category"":""Payroll"",""Frequency"":""bi-weekly"",""Payment schedule_0"":""2025-10-03""},{""First payment date"":""2025-04-18"",""Count"&"erparty"":""Katarzyna"",""Description"":""Payroll"",""Amount"":""$5240.72"",""Category"":""Payroll"",""Frequency"":""bi-weekly"",""Payment schedule_0"":""2025-10-17""},{""First payment date"":""2025-04-18"",""Counterparty"":""Katarzyna"",""Description"":""Payroll"",""Amount"":""$5240.72"",""Cat"&"egory"":""Payroll"",""Frequency"":""bi-weekly"",""Payment schedule_0"":""2025-10-31""},{""First payment date"":""2025-04-18"",""Counterparty"":""Katarzyna"",""Description"":""Payroll"",""Amount"":""$5240.72"",""Category"":""Payroll"",""Frequency"":""bi-weekly"",""Payment schedule_0"":""2025-1"&"1-14""},{""First payment date"":""2025-04-18"",""Counterparty"":""Katarzyna"",""Description"":""Payroll"",""Amount"":""$5240.72"",""Category"":""Payroll"",""Frequency"":""bi-weekly"",""Payment schedule_0"":""2025-11-28""},{""First payment date"":""2025-04-18"",""Counterparty"":""Katarzyna"","&"""Description"":""Payroll"",""Amount"":""$5240.72"",""Category"":""Payroll"",""Frequency"":""bi-weekly"",""Payment schedule_0"":""2025-12-12""}]")]]></f>
        <v>170</v>
      </c>
      <c r="U29" t="s" s="1">
        <v>113</v>
      </c>
    </row>
  </sheetData>
  <dataValidations count="84">
    <dataValidation type="list" sqref="E2" allowBlank="true" errorStyle="stop">
      <formula1>'Categories'!A2:A20</formula1>
    </dataValidation>
    <dataValidation type="list" sqref="F2" allowBlank="true" errorStyle="stop">
      <formula1>"weekly,bi-weekly,monthly,quarterly,yearly"</formula1>
    </dataValidation>
    <dataValidation type="list" sqref="U2" allowBlank="true" errorStyle="stop">
      <formula1>'Account'!A2:A5</formula1>
    </dataValidation>
    <dataValidation type="list" sqref="E3" allowBlank="true" errorStyle="stop">
      <formula1>'Categories'!A2:A20</formula1>
    </dataValidation>
    <dataValidation type="list" sqref="F3" allowBlank="true" errorStyle="stop">
      <formula1>"weekly,bi-weekly,monthly,quarterly,yearly"</formula1>
    </dataValidation>
    <dataValidation type="list" sqref="U3" allowBlank="true" errorStyle="stop">
      <formula1>'Account'!A2:A5</formula1>
    </dataValidation>
    <dataValidation type="list" sqref="E4" allowBlank="true" errorStyle="stop">
      <formula1>'Categories'!A2:A20</formula1>
    </dataValidation>
    <dataValidation type="list" sqref="F4" allowBlank="true" errorStyle="stop">
      <formula1>"weekly,bi-weekly,monthly,quarterly,yearly"</formula1>
    </dataValidation>
    <dataValidation type="list" sqref="U4" allowBlank="true" errorStyle="stop">
      <formula1>'Account'!A2:A5</formula1>
    </dataValidation>
    <dataValidation type="list" sqref="E5" allowBlank="true" errorStyle="stop">
      <formula1>'Categories'!A2:A20</formula1>
    </dataValidation>
    <dataValidation type="list" sqref="F5" allowBlank="true" errorStyle="stop">
      <formula1>"weekly,bi-weekly,monthly,quarterly,yearly"</formula1>
    </dataValidation>
    <dataValidation type="list" sqref="U5" allowBlank="true" errorStyle="stop">
      <formula1>'Account'!A2:A5</formula1>
    </dataValidation>
    <dataValidation type="list" sqref="E6" allowBlank="true" errorStyle="stop">
      <formula1>'Categories'!A2:A20</formula1>
    </dataValidation>
    <dataValidation type="list" sqref="F6" allowBlank="true" errorStyle="stop">
      <formula1>"weekly,bi-weekly,monthly,quarterly,yearly"</formula1>
    </dataValidation>
    <dataValidation type="list" sqref="U6" allowBlank="true" errorStyle="stop">
      <formula1>'Account'!A2:A5</formula1>
    </dataValidation>
    <dataValidation type="list" sqref="E7" allowBlank="true" errorStyle="stop">
      <formula1>'Categories'!A2:A20</formula1>
    </dataValidation>
    <dataValidation type="list" sqref="F7" allowBlank="true" errorStyle="stop">
      <formula1>"weekly,bi-weekly,monthly,quarterly,yearly"</formula1>
    </dataValidation>
    <dataValidation type="list" sqref="U7" allowBlank="true" errorStyle="stop">
      <formula1>'Account'!A2:A5</formula1>
    </dataValidation>
    <dataValidation type="list" sqref="E8" allowBlank="true" errorStyle="stop">
      <formula1>'Categories'!A2:A20</formula1>
    </dataValidation>
    <dataValidation type="list" sqref="F8" allowBlank="true" errorStyle="stop">
      <formula1>"weekly,bi-weekly,monthly,quarterly,yearly"</formula1>
    </dataValidation>
    <dataValidation type="list" sqref="U8" allowBlank="true" errorStyle="stop">
      <formula1>'Account'!A2:A5</formula1>
    </dataValidation>
    <dataValidation type="list" sqref="E9" allowBlank="true" errorStyle="stop">
      <formula1>'Categories'!A2:A20</formula1>
    </dataValidation>
    <dataValidation type="list" sqref="F9" allowBlank="true" errorStyle="stop">
      <formula1>"weekly,bi-weekly,monthly,quarterly,yearly"</formula1>
    </dataValidation>
    <dataValidation type="list" sqref="U9" allowBlank="true" errorStyle="stop">
      <formula1>'Account'!A2:A5</formula1>
    </dataValidation>
    <dataValidation type="list" sqref="E10" allowBlank="true" errorStyle="stop">
      <formula1>'Categories'!A2:A20</formula1>
    </dataValidation>
    <dataValidation type="list" sqref="F10" allowBlank="true" errorStyle="stop">
      <formula1>"weekly,bi-weekly,monthly,quarterly,yearly"</formula1>
    </dataValidation>
    <dataValidation type="list" sqref="U10" allowBlank="true" errorStyle="stop">
      <formula1>'Account'!A2:A5</formula1>
    </dataValidation>
    <dataValidation type="list" sqref="E11" allowBlank="true" errorStyle="stop">
      <formula1>'Categories'!A2:A20</formula1>
    </dataValidation>
    <dataValidation type="list" sqref="F11" allowBlank="true" errorStyle="stop">
      <formula1>"weekly,bi-weekly,monthly,quarterly,yearly"</formula1>
    </dataValidation>
    <dataValidation type="list" sqref="U11" allowBlank="true" errorStyle="stop">
      <formula1>'Account'!A2:A5</formula1>
    </dataValidation>
    <dataValidation type="list" sqref="E12" allowBlank="true" errorStyle="stop">
      <formula1>'Categories'!A2:A20</formula1>
    </dataValidation>
    <dataValidation type="list" sqref="F12" allowBlank="true" errorStyle="stop">
      <formula1>"weekly,bi-weekly,monthly,quarterly,yearly"</formula1>
    </dataValidation>
    <dataValidation type="list" sqref="U12" allowBlank="true" errorStyle="stop">
      <formula1>'Account'!A2:A5</formula1>
    </dataValidation>
    <dataValidation type="list" sqref="E13" allowBlank="true" errorStyle="stop">
      <formula1>'Categories'!A2:A20</formula1>
    </dataValidation>
    <dataValidation type="list" sqref="F13" allowBlank="true" errorStyle="stop">
      <formula1>"weekly,bi-weekly,monthly,quarterly,yearly"</formula1>
    </dataValidation>
    <dataValidation type="list" sqref="U13" allowBlank="true" errorStyle="stop">
      <formula1>'Account'!A2:A5</formula1>
    </dataValidation>
    <dataValidation type="list" sqref="E14" allowBlank="true" errorStyle="stop">
      <formula1>'Categories'!A2:A20</formula1>
    </dataValidation>
    <dataValidation type="list" sqref="F14" allowBlank="true" errorStyle="stop">
      <formula1>"weekly,bi-weekly,monthly,quarterly,yearly"</formula1>
    </dataValidation>
    <dataValidation type="list" sqref="U14" allowBlank="true" errorStyle="stop">
      <formula1>'Account'!A2:A5</formula1>
    </dataValidation>
    <dataValidation type="list" sqref="E15" allowBlank="true" errorStyle="stop">
      <formula1>'Categories'!A2:A20</formula1>
    </dataValidation>
    <dataValidation type="list" sqref="F15" allowBlank="true" errorStyle="stop">
      <formula1>"weekly,bi-weekly,monthly,quarterly,yearly"</formula1>
    </dataValidation>
    <dataValidation type="list" sqref="U15" allowBlank="true" errorStyle="stop">
      <formula1>'Account'!A2:A5</formula1>
    </dataValidation>
    <dataValidation type="list" sqref="E16" allowBlank="true" errorStyle="stop">
      <formula1>'Categories'!A2:A20</formula1>
    </dataValidation>
    <dataValidation type="list" sqref="F16" allowBlank="true" errorStyle="stop">
      <formula1>"weekly,bi-weekly,monthly,quarterly,yearly"</formula1>
    </dataValidation>
    <dataValidation type="list" sqref="U16" allowBlank="true" errorStyle="stop">
      <formula1>'Account'!A2:A5</formula1>
    </dataValidation>
    <dataValidation type="list" sqref="E17" allowBlank="true" errorStyle="stop">
      <formula1>'Categories'!A2:A20</formula1>
    </dataValidation>
    <dataValidation type="list" sqref="F17" allowBlank="true" errorStyle="stop">
      <formula1>"weekly,bi-weekly,monthly,quarterly,yearly"</formula1>
    </dataValidation>
    <dataValidation type="list" sqref="U17" allowBlank="true" errorStyle="stop">
      <formula1>'Account'!A2:A5</formula1>
    </dataValidation>
    <dataValidation type="list" sqref="E18" allowBlank="true" errorStyle="stop">
      <formula1>'Categories'!A2:A20</formula1>
    </dataValidation>
    <dataValidation type="list" sqref="F18" allowBlank="true" errorStyle="stop">
      <formula1>"weekly,bi-weekly,monthly,quarterly,yearly"</formula1>
    </dataValidation>
    <dataValidation type="list" sqref="U18" allowBlank="true" errorStyle="stop">
      <formula1>'Account'!A2:A5</formula1>
    </dataValidation>
    <dataValidation type="list" sqref="E19" allowBlank="true" errorStyle="stop">
      <formula1>'Categories'!A2:A20</formula1>
    </dataValidation>
    <dataValidation type="list" sqref="F19" allowBlank="true" errorStyle="stop">
      <formula1>"weekly,bi-weekly,monthly,quarterly,yearly"</formula1>
    </dataValidation>
    <dataValidation type="list" sqref="U19" allowBlank="true" errorStyle="stop">
      <formula1>'Account'!A2:A5</formula1>
    </dataValidation>
    <dataValidation type="list" sqref="E20" allowBlank="true" errorStyle="stop">
      <formula1>'Categories'!A2:A20</formula1>
    </dataValidation>
    <dataValidation type="list" sqref="F20" allowBlank="true" errorStyle="stop">
      <formula1>"weekly,bi-weekly,monthly,quarterly,yearly"</formula1>
    </dataValidation>
    <dataValidation type="list" sqref="U20" allowBlank="true" errorStyle="stop">
      <formula1>'Account'!A2:A5</formula1>
    </dataValidation>
    <dataValidation type="list" sqref="E21" allowBlank="true" errorStyle="stop">
      <formula1>'Categories'!A2:A20</formula1>
    </dataValidation>
    <dataValidation type="list" sqref="F21" allowBlank="true" errorStyle="stop">
      <formula1>"weekly,bi-weekly,monthly,quarterly,yearly"</formula1>
    </dataValidation>
    <dataValidation type="list" sqref="U21" allowBlank="true" errorStyle="stop">
      <formula1>'Account'!A2:A5</formula1>
    </dataValidation>
    <dataValidation type="list" sqref="E22" allowBlank="true" errorStyle="stop">
      <formula1>'Categories'!A2:A20</formula1>
    </dataValidation>
    <dataValidation type="list" sqref="F22" allowBlank="true" errorStyle="stop">
      <formula1>"weekly,bi-weekly,monthly,quarterly,yearly"</formula1>
    </dataValidation>
    <dataValidation type="list" sqref="U22" allowBlank="true" errorStyle="stop">
      <formula1>'Account'!A2:A5</formula1>
    </dataValidation>
    <dataValidation type="list" sqref="E23" allowBlank="true" errorStyle="stop">
      <formula1>'Categories'!A2:A20</formula1>
    </dataValidation>
    <dataValidation type="list" sqref="F23" allowBlank="true" errorStyle="stop">
      <formula1>"weekly,bi-weekly,monthly,quarterly,yearly"</formula1>
    </dataValidation>
    <dataValidation type="list" sqref="U23" allowBlank="true" errorStyle="stop">
      <formula1>'Account'!A2:A5</formula1>
    </dataValidation>
    <dataValidation type="list" sqref="E24" allowBlank="true" errorStyle="stop">
      <formula1>'Categories'!A2:A20</formula1>
    </dataValidation>
    <dataValidation type="list" sqref="F24" allowBlank="true" errorStyle="stop">
      <formula1>"weekly,bi-weekly,monthly,quarterly,yearly"</formula1>
    </dataValidation>
    <dataValidation type="list" sqref="U24" allowBlank="true" errorStyle="stop">
      <formula1>'Account'!A2:A5</formula1>
    </dataValidation>
    <dataValidation type="list" sqref="E25" allowBlank="true" errorStyle="stop">
      <formula1>'Categories'!A2:A20</formula1>
    </dataValidation>
    <dataValidation type="list" sqref="F25" allowBlank="true" errorStyle="stop">
      <formula1>"weekly,bi-weekly,monthly,quarterly,yearly"</formula1>
    </dataValidation>
    <dataValidation type="list" sqref="U25" allowBlank="true" errorStyle="stop">
      <formula1>'Account'!A2:A5</formula1>
    </dataValidation>
    <dataValidation type="list" sqref="E26" allowBlank="true" errorStyle="stop">
      <formula1>'Categories'!A2:A20</formula1>
    </dataValidation>
    <dataValidation type="list" sqref="F26" allowBlank="true" errorStyle="stop">
      <formula1>"weekly,bi-weekly,monthly,quarterly,yearly"</formula1>
    </dataValidation>
    <dataValidation type="list" sqref="U26" allowBlank="true" errorStyle="stop">
      <formula1>'Account'!A2:A5</formula1>
    </dataValidation>
    <dataValidation type="list" sqref="E27" allowBlank="true" errorStyle="stop">
      <formula1>'Categories'!A2:A20</formula1>
    </dataValidation>
    <dataValidation type="list" sqref="F27" allowBlank="true" errorStyle="stop">
      <formula1>"weekly,bi-weekly,monthly,quarterly,yearly"</formula1>
    </dataValidation>
    <dataValidation type="list" sqref="U27" allowBlank="true" errorStyle="stop">
      <formula1>'Account'!A2:A5</formula1>
    </dataValidation>
    <dataValidation type="list" sqref="E28" allowBlank="true" errorStyle="stop">
      <formula1>'Categories'!A2:A20</formula1>
    </dataValidation>
    <dataValidation type="list" sqref="F28" allowBlank="true" errorStyle="stop">
      <formula1>"weekly,bi-weekly,monthly,quarterly,yearly"</formula1>
    </dataValidation>
    <dataValidation type="list" sqref="U28" allowBlank="true" errorStyle="stop">
      <formula1>'Account'!A2:A5</formula1>
    </dataValidation>
    <dataValidation type="list" sqref="E29" allowBlank="true" errorStyle="stop">
      <formula1>'Categories'!A2:A20</formula1>
    </dataValidation>
    <dataValidation type="list" sqref="F29" allowBlank="true" errorStyle="stop">
      <formula1>"weekly,bi-weekly,monthly,quarterly,yearly"</formula1>
    </dataValidation>
    <dataValidation type="list" sqref="U29" allowBlank="true" errorStyle="stop">
      <formula1>'Account'!A2:A5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66"/>
  <sheetViews>
    <sheetView workbookViewId="0"/>
  </sheetViews>
  <sheetFormatPr defaultRowHeight="15.0"/>
  <cols>
    <col min="1" max="1" width="51.55859375" customWidth="true"/>
    <col min="2" max="2" width="16.99609375" customWidth="true"/>
  </cols>
  <sheetData>
    <row r="1">
      <c r="A1" t="s" s="13">
        <v>171</v>
      </c>
      <c r="B1" t="s" s="13">
        <v>93</v>
      </c>
      <c r="C1" t="s" s="21">
        <v>3</v>
      </c>
      <c r="D1" t="s" s="13">
        <v>172</v>
      </c>
      <c r="E1" t="s" s="13">
        <v>5</v>
      </c>
      <c r="F1" s="13"/>
    </row>
    <row r="2">
      <c r="A2" t="s" s="22">
        <v>90</v>
      </c>
      <c r="B2" s="22"/>
      <c r="C2" t="n" s="23">
        <v>-17596.0</v>
      </c>
      <c r="D2" t="n" s="24">
        <v>45839.0</v>
      </c>
      <c r="E2" t="s" s="22">
        <v>90</v>
      </c>
      <c r="F2" t="n" s="25">
        <f>C2*-1</f>
        <v>17596.0</v>
      </c>
    </row>
    <row r="3">
      <c r="A3" t="s" s="22">
        <v>90</v>
      </c>
      <c r="B3" s="22"/>
      <c r="C3" t="n" s="26">
        <v>-17819.0</v>
      </c>
      <c r="D3" t="n" s="27">
        <v>45853.0</v>
      </c>
      <c r="E3" t="s" s="22">
        <v>90</v>
      </c>
      <c r="F3" t="n" s="25">
        <f>C3*-1</f>
        <v>17819.0</v>
      </c>
    </row>
    <row r="4">
      <c r="A4" t="s" s="22">
        <v>90</v>
      </c>
      <c r="B4" s="22"/>
      <c r="C4" t="n" s="23">
        <v>-41327.0</v>
      </c>
      <c r="D4" t="n" s="24">
        <v>45867.0</v>
      </c>
      <c r="E4" t="s" s="22">
        <v>90</v>
      </c>
      <c r="F4" t="n" s="25">
        <f>C4*-1</f>
        <v>41327.0</v>
      </c>
    </row>
    <row r="5">
      <c r="A5" t="s" s="22">
        <v>90</v>
      </c>
      <c r="B5" s="22"/>
      <c r="C5" t="n" s="26">
        <v>-29913.0</v>
      </c>
      <c r="D5" t="n" s="27">
        <v>45881.0</v>
      </c>
      <c r="E5" t="s" s="22">
        <v>90</v>
      </c>
      <c r="F5" t="n" s="25">
        <f>C5*-1</f>
        <v>29913.0</v>
      </c>
    </row>
    <row r="6">
      <c r="A6" t="s" s="22">
        <v>90</v>
      </c>
      <c r="C6" t="n" s="23">
        <v>-18296.0</v>
      </c>
      <c r="D6" t="n" s="24">
        <v>45895.0</v>
      </c>
      <c r="E6" t="s" s="22">
        <v>90</v>
      </c>
      <c r="F6" t="n" s="25">
        <f>C6*-1</f>
        <v>18296.0</v>
      </c>
    </row>
    <row r="7">
      <c r="A7" t="s" s="22">
        <v>90</v>
      </c>
      <c r="C7" t="n" s="26">
        <v>-17138.0</v>
      </c>
      <c r="D7" t="n" s="27">
        <v>45909.0</v>
      </c>
      <c r="E7" t="s" s="22">
        <v>90</v>
      </c>
      <c r="F7" t="n" s="25">
        <f>C7*-1</f>
        <v>17138.0</v>
      </c>
    </row>
    <row r="8">
      <c r="A8" t="s" s="22">
        <v>90</v>
      </c>
      <c r="C8" t="n" s="28">
        <v>-295.0</v>
      </c>
      <c r="D8" t="n" s="24">
        <v>45909.0</v>
      </c>
      <c r="E8" t="s" s="22">
        <v>90</v>
      </c>
      <c r="F8" t="n" s="29">
        <f>C8*-1</f>
        <v>295.0</v>
      </c>
    </row>
    <row r="9">
      <c r="A9" t="s" s="22">
        <v>90</v>
      </c>
      <c r="C9" t="n" s="30">
        <v>-48.0</v>
      </c>
      <c r="D9" t="n" s="27">
        <v>45909.0</v>
      </c>
      <c r="E9" t="s" s="22">
        <v>90</v>
      </c>
      <c r="F9" t="n" s="29">
        <f>C9*-1</f>
        <v>48.0</v>
      </c>
    </row>
    <row r="10">
      <c r="A10" t="s" s="22">
        <v>90</v>
      </c>
      <c r="C10" t="n" s="28">
        <v>-145.0</v>
      </c>
      <c r="D10" t="n" s="24">
        <v>45937.0</v>
      </c>
      <c r="E10" t="s" s="22">
        <v>90</v>
      </c>
      <c r="F10" t="n" s="29">
        <f>C10*-1</f>
        <v>145.0</v>
      </c>
    </row>
    <row r="11">
      <c r="A11" t="s" s="22">
        <v>90</v>
      </c>
      <c r="C11" t="n" s="26">
        <v>-11602.0</v>
      </c>
      <c r="D11" t="n" s="27">
        <v>45937.0</v>
      </c>
      <c r="E11" t="s" s="22">
        <v>90</v>
      </c>
      <c r="F11" t="n" s="25">
        <f>C11*-1</f>
        <v>11602.0</v>
      </c>
    </row>
    <row r="12">
      <c r="A12" t="s" s="22">
        <v>90</v>
      </c>
      <c r="C12" t="n" s="23">
        <v>-18965.0</v>
      </c>
      <c r="D12" t="n" s="24">
        <v>45951.0</v>
      </c>
      <c r="E12" t="s" s="22">
        <v>90</v>
      </c>
      <c r="F12" t="n" s="25">
        <f>C12*-1</f>
        <v>18965.0</v>
      </c>
    </row>
    <row r="13">
      <c r="A13" t="s" s="22">
        <v>90</v>
      </c>
      <c r="C13" t="n" s="30">
        <v>-74.0</v>
      </c>
      <c r="D13" t="n" s="27">
        <v>45951.0</v>
      </c>
      <c r="E13" t="s" s="22">
        <v>90</v>
      </c>
      <c r="F13" t="n" s="29">
        <f>C13*-1</f>
        <v>74.0</v>
      </c>
    </row>
    <row r="14">
      <c r="A14" t="s" s="22">
        <v>90</v>
      </c>
      <c r="C14" t="n" s="23">
        <v>-20118.0</v>
      </c>
      <c r="D14" t="n" s="24">
        <v>45965.0</v>
      </c>
      <c r="E14" t="s" s="22">
        <v>90</v>
      </c>
      <c r="F14" t="n" s="25">
        <f>C14*-1</f>
        <v>20118.0</v>
      </c>
    </row>
    <row r="15">
      <c r="A15" t="s" s="22">
        <v>90</v>
      </c>
      <c r="C15" t="n" s="30">
        <v>-179.0</v>
      </c>
      <c r="D15" t="n" s="27">
        <v>45965.0</v>
      </c>
      <c r="E15" t="s" s="22">
        <v>90</v>
      </c>
      <c r="F15" t="n" s="29">
        <f>C15*-1</f>
        <v>179.0</v>
      </c>
    </row>
    <row r="16">
      <c r="A16" t="s" s="22">
        <v>90</v>
      </c>
      <c r="C16" t="n" s="23">
        <v>-11588.0</v>
      </c>
      <c r="D16" t="n" s="24">
        <v>45979.0</v>
      </c>
      <c r="E16" t="s" s="22">
        <v>90</v>
      </c>
      <c r="F16" t="n" s="25">
        <f>C16*-1</f>
        <v>11588.0</v>
      </c>
    </row>
    <row r="17">
      <c r="A17" t="s" s="22">
        <v>90</v>
      </c>
      <c r="C17" t="n" s="30">
        <v>-428.0</v>
      </c>
      <c r="D17" t="n" s="27">
        <v>45979.0</v>
      </c>
      <c r="E17" t="s" s="22">
        <v>90</v>
      </c>
      <c r="F17" t="n" s="29">
        <f>C17*-1</f>
        <v>428.0</v>
      </c>
    </row>
    <row r="18">
      <c r="A18" t="s" s="22">
        <v>90</v>
      </c>
      <c r="C18" t="n" s="28">
        <v>-33.0</v>
      </c>
      <c r="D18" t="n" s="24">
        <v>45980.0</v>
      </c>
      <c r="E18" t="s" s="22">
        <v>90</v>
      </c>
      <c r="F18" t="n" s="29">
        <f>C18*-1</f>
        <v>33.0</v>
      </c>
    </row>
    <row r="19">
      <c r="A19" t="s" s="22">
        <v>90</v>
      </c>
      <c r="C19" t="n" s="30">
        <v>-373.0</v>
      </c>
      <c r="D19" t="n" s="27">
        <v>45993.0</v>
      </c>
      <c r="E19" t="s" s="22">
        <v>90</v>
      </c>
      <c r="F19" t="n" s="29">
        <f>C19*-1</f>
        <v>373.0</v>
      </c>
    </row>
    <row r="20">
      <c r="A20" t="s" s="22">
        <v>90</v>
      </c>
      <c r="C20" t="n" s="23">
        <v>-86907.0</v>
      </c>
      <c r="D20" t="n" s="24">
        <v>46002.0</v>
      </c>
      <c r="E20" t="s" s="22">
        <v>90</v>
      </c>
      <c r="F20" t="n" s="25">
        <f>C20*-1</f>
        <v>86907.0</v>
      </c>
    </row>
    <row r="21">
      <c r="A21" t="s" s="22">
        <v>10</v>
      </c>
      <c r="C21" t="n" s="28">
        <f>F21*-1</f>
        <v>-132.44</v>
      </c>
      <c r="D21" t="n" s="18">
        <v>46023.0</v>
      </c>
      <c r="E21" t="s" s="22">
        <v>10</v>
      </c>
      <c r="F21" t="n" s="31">
        <v>132.44</v>
      </c>
    </row>
    <row r="22">
      <c r="A22" t="s" s="22">
        <v>10</v>
      </c>
      <c r="C22" t="n" s="28">
        <f>F22*-1</f>
        <v>-369.69</v>
      </c>
      <c r="D22" t="n" s="18">
        <v>46023.0</v>
      </c>
      <c r="E22" t="s" s="22">
        <v>10</v>
      </c>
      <c r="F22" t="n" s="31">
        <v>369.69</v>
      </c>
    </row>
    <row r="23">
      <c r="A23" t="s" s="22">
        <v>10</v>
      </c>
      <c r="C23" t="n" s="28">
        <f>F23*-1</f>
        <v>-156.53</v>
      </c>
      <c r="D23" t="n" s="18">
        <v>46022.0</v>
      </c>
      <c r="E23" t="s" s="22">
        <v>10</v>
      </c>
      <c r="F23" t="n" s="31">
        <v>156.53</v>
      </c>
    </row>
    <row r="24">
      <c r="A24" t="s" s="22">
        <v>10</v>
      </c>
      <c r="C24" t="n" s="28">
        <f>F24*-1</f>
        <v>-98.58</v>
      </c>
      <c r="D24" t="n" s="18">
        <v>46022.0</v>
      </c>
      <c r="E24" t="s" s="22">
        <v>10</v>
      </c>
      <c r="F24" t="n" s="31">
        <v>98.58</v>
      </c>
    </row>
    <row r="25">
      <c r="A25" t="s" s="22">
        <v>10</v>
      </c>
      <c r="C25" t="n" s="28">
        <f>F25*-1</f>
        <v>-5459.78</v>
      </c>
      <c r="D25" t="n" s="18">
        <v>46022.0</v>
      </c>
      <c r="E25" t="s" s="22">
        <v>10</v>
      </c>
      <c r="F25" t="n" s="31">
        <v>5459.78</v>
      </c>
    </row>
    <row r="26">
      <c r="A26" t="s" s="22">
        <v>10</v>
      </c>
      <c r="C26" t="n" s="28">
        <f>F26*-1</f>
        <v>-46.73</v>
      </c>
      <c r="D26" t="n" s="18">
        <v>46021.0</v>
      </c>
      <c r="E26" t="s" s="22">
        <v>10</v>
      </c>
      <c r="F26" t="n" s="31">
        <v>46.73</v>
      </c>
    </row>
    <row r="27">
      <c r="A27" t="s" s="22">
        <v>10</v>
      </c>
      <c r="C27" t="n" s="28">
        <f>F27*-1</f>
        <v>-174.18</v>
      </c>
      <c r="D27" t="n" s="18">
        <v>46021.0</v>
      </c>
      <c r="E27" t="s" s="22">
        <v>10</v>
      </c>
      <c r="F27" t="n" s="31">
        <v>174.18</v>
      </c>
    </row>
    <row r="28">
      <c r="A28" t="s" s="22">
        <v>10</v>
      </c>
      <c r="C28" t="n" s="28">
        <f>F28*-1</f>
        <v>-2057.43</v>
      </c>
      <c r="D28" t="n" s="18">
        <v>46021.0</v>
      </c>
      <c r="E28" t="s" s="22">
        <v>10</v>
      </c>
      <c r="F28" t="n" s="31">
        <v>2057.43</v>
      </c>
    </row>
    <row r="29">
      <c r="A29" t="s" s="22">
        <v>10</v>
      </c>
      <c r="C29" t="n" s="28">
        <f>F29*-1</f>
        <v>-162.87</v>
      </c>
      <c r="D29" t="n" s="18">
        <v>46020.0</v>
      </c>
      <c r="E29" t="s" s="22">
        <v>10</v>
      </c>
      <c r="F29" t="n" s="31">
        <v>162.87</v>
      </c>
    </row>
    <row r="30">
      <c r="A30" t="s" s="22">
        <v>10</v>
      </c>
      <c r="C30" t="n" s="28">
        <f>F30*-1</f>
        <v>-230.98</v>
      </c>
      <c r="D30" t="n" s="18">
        <v>46020.0</v>
      </c>
      <c r="E30" t="s" s="22">
        <v>10</v>
      </c>
      <c r="F30" t="n" s="31">
        <v>230.98</v>
      </c>
    </row>
    <row r="31">
      <c r="A31" t="s" s="22">
        <v>10</v>
      </c>
      <c r="C31" t="n" s="28">
        <f>F31*-1</f>
        <v>-345.54</v>
      </c>
      <c r="D31" t="n" s="18">
        <v>46019.0</v>
      </c>
      <c r="E31" t="s" s="22">
        <v>10</v>
      </c>
      <c r="F31" t="n" s="31">
        <v>345.54</v>
      </c>
    </row>
    <row r="32">
      <c r="A32" t="s" s="22">
        <v>10</v>
      </c>
      <c r="C32" t="n" s="28">
        <f>F32*-1</f>
        <v>-84.8</v>
      </c>
      <c r="D32" t="n" s="18">
        <v>46018.0</v>
      </c>
      <c r="E32" t="s" s="22">
        <v>10</v>
      </c>
      <c r="F32" t="n" s="31">
        <v>84.8</v>
      </c>
    </row>
    <row r="33">
      <c r="A33" t="s" s="22">
        <v>10</v>
      </c>
      <c r="C33" t="n" s="28">
        <f>F33*-1</f>
        <v>-107.59</v>
      </c>
      <c r="D33" t="n" s="18">
        <v>46018.0</v>
      </c>
      <c r="E33" t="s" s="22">
        <v>10</v>
      </c>
      <c r="F33" t="n" s="31">
        <v>107.59</v>
      </c>
    </row>
    <row r="34">
      <c r="A34" t="s" s="22">
        <v>10</v>
      </c>
      <c r="C34" t="n" s="28">
        <f>F34*-1</f>
        <v>-7140.36</v>
      </c>
      <c r="D34" t="n" s="18">
        <v>46018.0</v>
      </c>
      <c r="E34" t="s" s="22">
        <v>10</v>
      </c>
      <c r="F34" t="n" s="31">
        <v>7140.36</v>
      </c>
    </row>
    <row r="35">
      <c r="A35" t="s" s="22">
        <v>10</v>
      </c>
      <c r="C35" t="n" s="28">
        <f>F35*-1</f>
        <v>-158.28</v>
      </c>
      <c r="D35" t="n" s="18">
        <v>46017.0</v>
      </c>
      <c r="E35" t="s" s="22">
        <v>10</v>
      </c>
      <c r="F35" t="n" s="31">
        <v>158.28</v>
      </c>
    </row>
    <row r="36">
      <c r="A36" t="s" s="22">
        <v>10</v>
      </c>
      <c r="C36" t="n" s="28">
        <f>F36*-1</f>
        <v>-219.34</v>
      </c>
      <c r="D36" t="n" s="18">
        <v>46017.0</v>
      </c>
      <c r="E36" t="s" s="22">
        <v>10</v>
      </c>
      <c r="F36" t="n" s="31">
        <v>219.34</v>
      </c>
    </row>
    <row r="37">
      <c r="A37" t="s" s="22">
        <v>10</v>
      </c>
      <c r="C37" t="n" s="28">
        <f>F37*-1</f>
        <v>-5805.7</v>
      </c>
      <c r="D37" t="n" s="18">
        <v>46017.0</v>
      </c>
      <c r="E37" t="s" s="22">
        <v>10</v>
      </c>
      <c r="F37" t="n" s="31">
        <v>5805.7</v>
      </c>
    </row>
    <row r="38">
      <c r="A38" t="s" s="22">
        <v>10</v>
      </c>
      <c r="C38" t="n" s="28">
        <f>F38*-1</f>
        <v>-86.27</v>
      </c>
      <c r="D38" t="n" s="18">
        <v>46016.0</v>
      </c>
      <c r="E38" t="s" s="22">
        <v>10</v>
      </c>
      <c r="F38" t="n" s="31">
        <v>86.27</v>
      </c>
    </row>
    <row r="39">
      <c r="A39" t="s" s="22">
        <v>10</v>
      </c>
      <c r="C39" t="n" s="28">
        <f>F39*-1</f>
        <v>-244.59</v>
      </c>
      <c r="D39" t="n" s="18">
        <v>46016.0</v>
      </c>
      <c r="E39" t="s" s="22">
        <v>10</v>
      </c>
      <c r="F39" t="n" s="31">
        <v>244.59</v>
      </c>
    </row>
    <row r="40">
      <c r="A40" t="s" s="22">
        <v>10</v>
      </c>
      <c r="C40" t="n" s="28">
        <f>F40*-1</f>
        <v>-1213.21</v>
      </c>
      <c r="D40" t="n" s="18">
        <v>46015.0</v>
      </c>
      <c r="E40" t="s" s="22">
        <v>10</v>
      </c>
      <c r="F40" t="n" s="31">
        <v>1213.21</v>
      </c>
    </row>
    <row r="41">
      <c r="A41" t="s" s="22">
        <v>10</v>
      </c>
      <c r="C41" t="n" s="28">
        <f>F41*-1</f>
        <v>-668.87</v>
      </c>
      <c r="D41" t="n" s="18">
        <v>46015.0</v>
      </c>
      <c r="E41" t="s" s="22">
        <v>10</v>
      </c>
      <c r="F41" t="n" s="31">
        <v>668.87</v>
      </c>
    </row>
    <row r="42">
      <c r="A42" t="s" s="22">
        <v>10</v>
      </c>
      <c r="C42" t="n" s="28">
        <f>F42*-1</f>
        <v>-28493.86</v>
      </c>
      <c r="D42" t="n" s="18">
        <v>46015.0</v>
      </c>
      <c r="E42" t="s" s="22">
        <v>10</v>
      </c>
      <c r="F42" t="n" s="31">
        <v>28493.86</v>
      </c>
    </row>
    <row r="43">
      <c r="A43" t="s" s="22">
        <v>10</v>
      </c>
      <c r="C43" t="n" s="28">
        <f>F43*-1</f>
        <v>-59.82</v>
      </c>
      <c r="D43" t="n" s="18">
        <v>46014.0</v>
      </c>
      <c r="E43" t="s" s="22">
        <v>10</v>
      </c>
      <c r="F43" t="n" s="31">
        <v>59.82</v>
      </c>
    </row>
    <row r="44">
      <c r="A44" t="s" s="22">
        <v>10</v>
      </c>
      <c r="C44" t="n" s="28">
        <f>F44*-1</f>
        <v>-961.53</v>
      </c>
      <c r="D44" t="n" s="18">
        <v>46014.0</v>
      </c>
      <c r="E44" t="s" s="22">
        <v>10</v>
      </c>
      <c r="F44" t="n" s="31">
        <v>961.53</v>
      </c>
    </row>
    <row r="45">
      <c r="A45" t="s" s="22">
        <v>10</v>
      </c>
      <c r="C45" t="n" s="28">
        <f>F45*-1</f>
        <v>-456.32</v>
      </c>
      <c r="D45" t="n" s="18">
        <v>46014.0</v>
      </c>
      <c r="E45" t="s" s="22">
        <v>10</v>
      </c>
      <c r="F45" t="n" s="31">
        <v>456.32</v>
      </c>
    </row>
    <row r="46">
      <c r="A46" t="s" s="22">
        <v>10</v>
      </c>
      <c r="C46" t="n" s="28">
        <f>F46*-1</f>
        <v>-15811.37</v>
      </c>
      <c r="D46" t="n" s="18">
        <v>46014.0</v>
      </c>
      <c r="E46" t="s" s="22">
        <v>10</v>
      </c>
      <c r="F46" t="n" s="31">
        <v>15811.37</v>
      </c>
    </row>
    <row r="47">
      <c r="A47" t="s" s="22">
        <v>10</v>
      </c>
      <c r="C47" t="n" s="28">
        <f>F47*-1</f>
        <v>-1023.61</v>
      </c>
      <c r="D47" t="n" s="18">
        <v>46013.0</v>
      </c>
      <c r="E47" t="s" s="22">
        <v>10</v>
      </c>
      <c r="F47" t="n" s="31">
        <v>1023.61</v>
      </c>
    </row>
    <row r="48">
      <c r="A48" t="s" s="22">
        <v>10</v>
      </c>
      <c r="C48" t="n" s="28">
        <f>F48*-1</f>
        <v>-314.32</v>
      </c>
      <c r="D48" t="n" s="18">
        <v>46013.0</v>
      </c>
      <c r="E48" t="s" s="22">
        <v>10</v>
      </c>
      <c r="F48" t="n" s="31">
        <v>314.32</v>
      </c>
    </row>
    <row r="49">
      <c r="A49" t="s" s="22">
        <v>10</v>
      </c>
      <c r="C49" t="n" s="28">
        <f>F49*-1</f>
        <v>-1079.92</v>
      </c>
      <c r="D49" t="n" s="18">
        <v>46012.0</v>
      </c>
      <c r="E49" t="s" s="22">
        <v>10</v>
      </c>
      <c r="F49" t="n" s="31">
        <v>1079.92</v>
      </c>
    </row>
    <row r="50">
      <c r="A50" t="s" s="22">
        <v>10</v>
      </c>
      <c r="C50" t="n" s="28">
        <f>F50*-1</f>
        <v>-170.51</v>
      </c>
      <c r="D50" t="n" s="18">
        <v>46012.0</v>
      </c>
      <c r="E50" t="s" s="22">
        <v>10</v>
      </c>
      <c r="F50" t="n" s="31">
        <v>170.51</v>
      </c>
    </row>
    <row r="51">
      <c r="A51" t="s" s="22">
        <v>10</v>
      </c>
      <c r="C51" t="n" s="28">
        <f>F51*-1</f>
        <v>-1099.8</v>
      </c>
      <c r="D51" t="n" s="18">
        <v>46012.0</v>
      </c>
      <c r="E51" t="s" s="22">
        <v>10</v>
      </c>
      <c r="F51" t="n" s="31">
        <v>1099.8</v>
      </c>
    </row>
    <row r="52">
      <c r="A52" t="s" s="22">
        <v>10</v>
      </c>
      <c r="C52" t="n" s="28">
        <f>F52*-1</f>
        <v>-2566.08</v>
      </c>
      <c r="D52" t="n" s="18">
        <v>46011.0</v>
      </c>
      <c r="E52" t="s" s="22">
        <v>10</v>
      </c>
      <c r="F52" t="n" s="31">
        <v>2566.08</v>
      </c>
    </row>
    <row r="53">
      <c r="A53" t="s" s="22">
        <v>10</v>
      </c>
      <c r="C53" t="n" s="28">
        <f>F53*-1</f>
        <v>-284.6</v>
      </c>
      <c r="D53" t="n" s="18">
        <v>46011.0</v>
      </c>
      <c r="E53" t="s" s="22">
        <v>10</v>
      </c>
      <c r="F53" t="n" s="31">
        <v>284.6</v>
      </c>
    </row>
    <row r="54">
      <c r="A54" t="s" s="22">
        <v>10</v>
      </c>
      <c r="C54" t="n" s="28">
        <f>F54*-1</f>
        <v>-728.09</v>
      </c>
      <c r="D54" t="n" s="18">
        <v>46011.0</v>
      </c>
      <c r="E54" t="s" s="22">
        <v>10</v>
      </c>
      <c r="F54" t="n" s="31">
        <v>728.09</v>
      </c>
    </row>
    <row r="55">
      <c r="A55" t="s" s="22">
        <v>10</v>
      </c>
      <c r="C55" t="n" s="28">
        <f>F55*-1</f>
        <v>-20803.16</v>
      </c>
      <c r="D55" t="n" s="18">
        <v>46011.0</v>
      </c>
      <c r="E55" t="s" s="22">
        <v>10</v>
      </c>
      <c r="F55" t="n" s="31">
        <v>20803.16</v>
      </c>
    </row>
    <row r="56">
      <c r="A56" t="s" s="22">
        <v>10</v>
      </c>
      <c r="C56" t="n" s="28">
        <f>F56*-1</f>
        <v>-2099.11</v>
      </c>
      <c r="D56" t="n" s="18">
        <v>46010.0</v>
      </c>
      <c r="E56" t="s" s="22">
        <v>10</v>
      </c>
      <c r="F56" t="n" s="31">
        <v>2099.11</v>
      </c>
    </row>
    <row r="57">
      <c r="A57" t="s" s="22">
        <v>10</v>
      </c>
      <c r="C57" t="n" s="28">
        <f>F57*-1</f>
        <v>-681.11</v>
      </c>
      <c r="D57" t="n" s="18">
        <v>46010.0</v>
      </c>
      <c r="E57" t="s" s="22">
        <v>10</v>
      </c>
      <c r="F57" t="n" s="31">
        <v>681.11</v>
      </c>
    </row>
    <row r="58">
      <c r="A58" t="s" s="22">
        <v>10</v>
      </c>
      <c r="C58" t="n" s="28">
        <f>F58*-1</f>
        <v>-26043.63</v>
      </c>
      <c r="D58" t="n" s="18">
        <v>46010.0</v>
      </c>
      <c r="E58" t="s" s="22">
        <v>10</v>
      </c>
      <c r="F58" t="n" s="31">
        <v>26043.63</v>
      </c>
    </row>
    <row r="59">
      <c r="A59" t="s" s="22">
        <v>10</v>
      </c>
      <c r="C59" t="n" s="28">
        <f>F59*-1</f>
        <v>-2841.34</v>
      </c>
      <c r="D59" t="n" s="18">
        <v>46009.0</v>
      </c>
      <c r="E59" t="s" s="22">
        <v>10</v>
      </c>
      <c r="F59" t="n" s="31">
        <v>2841.34</v>
      </c>
    </row>
    <row r="60">
      <c r="A60" t="s" s="22">
        <v>10</v>
      </c>
      <c r="C60" t="n" s="28">
        <f>F60*-1</f>
        <v>-1555.76</v>
      </c>
      <c r="D60" t="n" s="18">
        <v>46009.0</v>
      </c>
      <c r="E60" t="s" s="22">
        <v>10</v>
      </c>
      <c r="F60" t="n" s="31">
        <v>1555.76</v>
      </c>
    </row>
    <row r="61">
      <c r="A61" t="s" s="22">
        <v>10</v>
      </c>
      <c r="C61" t="n" s="28">
        <f>F61*-1</f>
        <v>-26917.67</v>
      </c>
      <c r="D61" t="n" s="18">
        <v>46009.0</v>
      </c>
      <c r="E61" t="s" s="22">
        <v>10</v>
      </c>
      <c r="F61" t="n" s="31">
        <v>26917.67</v>
      </c>
    </row>
    <row r="62">
      <c r="A62" t="s" s="22">
        <v>10</v>
      </c>
      <c r="C62" t="n" s="28">
        <f>F62*-1</f>
        <v>-3838.09</v>
      </c>
      <c r="D62" t="n" s="18">
        <v>46008.0</v>
      </c>
      <c r="E62" t="s" s="22">
        <v>10</v>
      </c>
      <c r="F62" t="n" s="31">
        <v>3838.09</v>
      </c>
    </row>
    <row r="63">
      <c r="A63" t="s" s="22">
        <v>10</v>
      </c>
      <c r="C63" t="n" s="28">
        <f>F63*-1</f>
        <v>-1598.54</v>
      </c>
      <c r="D63" t="n" s="18">
        <v>46008.0</v>
      </c>
      <c r="E63" t="s" s="22">
        <v>10</v>
      </c>
      <c r="F63" t="n" s="31">
        <v>1598.54</v>
      </c>
    </row>
    <row r="64">
      <c r="A64" t="s" s="22">
        <v>10</v>
      </c>
      <c r="C64" t="n" s="28">
        <f>F64*-1</f>
        <v>-76651.4</v>
      </c>
      <c r="D64" t="n" s="18">
        <v>46008.0</v>
      </c>
      <c r="E64" t="s" s="22">
        <v>10</v>
      </c>
      <c r="F64" t="n" s="31">
        <v>76651.4</v>
      </c>
    </row>
    <row r="65">
      <c r="A65" t="s" s="22">
        <v>10</v>
      </c>
      <c r="C65" t="n" s="28">
        <f>F65*-1</f>
        <v>-310.85</v>
      </c>
      <c r="D65" t="n" s="18">
        <v>46007.0</v>
      </c>
      <c r="E65" t="s" s="22">
        <v>10</v>
      </c>
      <c r="F65" t="n" s="31">
        <v>310.85</v>
      </c>
    </row>
    <row r="66">
      <c r="A66" t="s" s="22">
        <v>10</v>
      </c>
      <c r="C66" t="n" s="28">
        <f>F66*-1</f>
        <v>-2532.76</v>
      </c>
      <c r="D66" t="n" s="18">
        <v>46007.0</v>
      </c>
      <c r="E66" t="s" s="22">
        <v>10</v>
      </c>
      <c r="F66" t="n" s="31">
        <v>2532.76</v>
      </c>
    </row>
    <row r="67">
      <c r="A67" t="s" s="22">
        <v>10</v>
      </c>
      <c r="C67" t="n" s="28">
        <f>F67*-1</f>
        <v>-1842.71</v>
      </c>
      <c r="D67" t="n" s="18">
        <v>46007.0</v>
      </c>
      <c r="E67" t="s" s="22">
        <v>10</v>
      </c>
      <c r="F67" t="n" s="31">
        <v>1842.71</v>
      </c>
    </row>
    <row r="68">
      <c r="A68" t="s" s="22">
        <v>10</v>
      </c>
      <c r="C68" t="n" s="28">
        <f>F68*-1</f>
        <v>-27848.04</v>
      </c>
      <c r="D68" t="n" s="18">
        <v>46007.0</v>
      </c>
      <c r="E68" t="s" s="22">
        <v>10</v>
      </c>
      <c r="F68" t="n" s="31">
        <v>27848.04</v>
      </c>
    </row>
    <row r="69">
      <c r="A69" t="s" s="22">
        <v>10</v>
      </c>
      <c r="C69" t="n" s="28">
        <f>F69*-1</f>
        <v>-3238.14</v>
      </c>
      <c r="D69" t="n" s="18">
        <v>46006.0</v>
      </c>
      <c r="E69" t="s" s="22">
        <v>10</v>
      </c>
      <c r="F69" t="n" s="31">
        <v>3238.14</v>
      </c>
    </row>
    <row r="70">
      <c r="A70" t="s" s="22">
        <v>10</v>
      </c>
      <c r="C70" t="n" s="28">
        <f>F70*-1</f>
        <v>-1159.4</v>
      </c>
      <c r="D70" t="n" s="18">
        <v>46006.0</v>
      </c>
      <c r="E70" t="s" s="22">
        <v>10</v>
      </c>
      <c r="F70" t="n" s="31">
        <v>1159.4</v>
      </c>
    </row>
    <row r="71">
      <c r="A71" t="s" s="22">
        <v>10</v>
      </c>
      <c r="C71" t="n" s="28">
        <f>F71*-1</f>
        <v>-2362.76</v>
      </c>
      <c r="D71" t="n" s="18">
        <v>46005.0</v>
      </c>
      <c r="E71" t="s" s="22">
        <v>10</v>
      </c>
      <c r="F71" t="n" s="31">
        <v>2362.76</v>
      </c>
    </row>
    <row r="72">
      <c r="A72" t="s" s="22">
        <v>10</v>
      </c>
      <c r="C72" t="n" s="28">
        <f>F72*-1</f>
        <v>-1362.67</v>
      </c>
      <c r="D72" t="n" s="18">
        <v>46005.0</v>
      </c>
      <c r="E72" t="s" s="22">
        <v>10</v>
      </c>
      <c r="F72" t="n" s="31">
        <v>1362.67</v>
      </c>
    </row>
    <row r="73">
      <c r="A73" t="s" s="22">
        <v>10</v>
      </c>
      <c r="C73" t="n" s="28">
        <f>F73*-1</f>
        <v>-2100.35</v>
      </c>
      <c r="D73" t="n" s="18">
        <v>46004.0</v>
      </c>
      <c r="E73" t="s" s="22">
        <v>10</v>
      </c>
      <c r="F73" t="n" s="31">
        <v>2100.35</v>
      </c>
    </row>
    <row r="74">
      <c r="A74" t="s" s="22">
        <v>10</v>
      </c>
      <c r="C74" t="n" s="28">
        <f>F74*-1</f>
        <v>-1391.81</v>
      </c>
      <c r="D74" t="n" s="18">
        <v>46004.0</v>
      </c>
      <c r="E74" t="s" s="22">
        <v>10</v>
      </c>
      <c r="F74" t="n" s="31">
        <v>1391.81</v>
      </c>
    </row>
    <row r="75">
      <c r="A75" t="s" s="22">
        <v>10</v>
      </c>
      <c r="C75" t="n" s="28">
        <f>F75*-1</f>
        <v>-22420.96</v>
      </c>
      <c r="D75" t="n" s="18">
        <v>46004.0</v>
      </c>
      <c r="E75" t="s" s="22">
        <v>10</v>
      </c>
      <c r="F75" t="n" s="31">
        <v>22420.96</v>
      </c>
    </row>
    <row r="76">
      <c r="A76" t="s" s="22">
        <v>10</v>
      </c>
      <c r="C76" t="n" s="28">
        <f>F76*-1</f>
        <v>-2040.03</v>
      </c>
      <c r="D76" t="n" s="18">
        <v>46003.0</v>
      </c>
      <c r="E76" t="s" s="22">
        <v>10</v>
      </c>
      <c r="F76" t="n" s="31">
        <v>2040.03</v>
      </c>
    </row>
    <row r="77">
      <c r="A77" t="s" s="22">
        <v>10</v>
      </c>
      <c r="C77" t="n" s="28">
        <f>F77*-1</f>
        <v>-1111.05</v>
      </c>
      <c r="D77" t="n" s="18">
        <v>46003.0</v>
      </c>
      <c r="E77" t="s" s="22">
        <v>10</v>
      </c>
      <c r="F77" t="n" s="31">
        <v>1111.05</v>
      </c>
    </row>
    <row r="78">
      <c r="A78" t="s" s="22">
        <v>10</v>
      </c>
      <c r="C78" t="n" s="28">
        <f>F78*-1</f>
        <v>-24158.94</v>
      </c>
      <c r="D78" t="n" s="18">
        <v>46003.0</v>
      </c>
      <c r="E78" t="s" s="22">
        <v>10</v>
      </c>
      <c r="F78" t="n" s="31">
        <v>24158.94</v>
      </c>
    </row>
    <row r="79">
      <c r="A79" t="s" s="22">
        <v>10</v>
      </c>
      <c r="C79" t="n" s="28">
        <f>F79*-1</f>
        <v>-1913.4</v>
      </c>
      <c r="D79" t="n" s="18">
        <v>46002.0</v>
      </c>
      <c r="E79" t="s" s="22">
        <v>10</v>
      </c>
      <c r="F79" t="n" s="31">
        <v>1913.4</v>
      </c>
    </row>
    <row r="80">
      <c r="A80" t="s" s="22">
        <v>10</v>
      </c>
      <c r="C80" t="n" s="28">
        <f>F80*-1</f>
        <v>-988.62</v>
      </c>
      <c r="D80" t="n" s="18">
        <v>46002.0</v>
      </c>
      <c r="E80" t="s" s="22">
        <v>10</v>
      </c>
      <c r="F80" t="n" s="31">
        <v>988.62</v>
      </c>
    </row>
    <row r="81">
      <c r="A81" t="s" s="22">
        <v>10</v>
      </c>
      <c r="C81" t="n" s="28">
        <f>F81*-1</f>
        <v>-187.51</v>
      </c>
      <c r="D81" t="n" s="18">
        <v>46002.0</v>
      </c>
      <c r="E81" t="s" s="22">
        <v>10</v>
      </c>
      <c r="F81" t="n" s="31">
        <v>187.51</v>
      </c>
    </row>
    <row r="82">
      <c r="A82" t="s" s="22">
        <v>10</v>
      </c>
      <c r="C82" t="n" s="28">
        <f>F82*-1</f>
        <v>-19411.69</v>
      </c>
      <c r="D82" t="n" s="18">
        <v>46002.0</v>
      </c>
      <c r="E82" t="s" s="22">
        <v>10</v>
      </c>
      <c r="F82" t="n" s="31">
        <v>19411.69</v>
      </c>
    </row>
    <row r="83">
      <c r="A83" t="s" s="22">
        <v>10</v>
      </c>
      <c r="C83" t="n" s="28">
        <f>F83*-1</f>
        <v>-2620.76</v>
      </c>
      <c r="D83" t="n" s="18">
        <v>46001.0</v>
      </c>
      <c r="E83" t="s" s="22">
        <v>10</v>
      </c>
      <c r="F83" t="n" s="31">
        <v>2620.76</v>
      </c>
    </row>
    <row r="84">
      <c r="A84" t="s" s="22">
        <v>10</v>
      </c>
      <c r="C84" t="n" s="28">
        <f>F84*-1</f>
        <v>-777.67</v>
      </c>
      <c r="D84" t="n" s="18">
        <v>46001.0</v>
      </c>
      <c r="E84" t="s" s="22">
        <v>10</v>
      </c>
      <c r="F84" t="n" s="31">
        <v>777.67</v>
      </c>
    </row>
    <row r="85">
      <c r="A85" t="s" s="22">
        <v>10</v>
      </c>
      <c r="C85" t="n" s="28">
        <f>F85*-1</f>
        <v>-44162.81</v>
      </c>
      <c r="D85" t="n" s="18">
        <v>46001.0</v>
      </c>
      <c r="E85" t="s" s="22">
        <v>10</v>
      </c>
      <c r="F85" t="n" s="31">
        <v>44162.81</v>
      </c>
    </row>
    <row r="86">
      <c r="A86" t="s" s="22">
        <v>10</v>
      </c>
      <c r="C86" t="n" s="28">
        <f>F86*-1</f>
        <v>-1013.2</v>
      </c>
      <c r="D86" t="n" s="18">
        <v>46000.0</v>
      </c>
      <c r="E86" t="s" s="22">
        <v>10</v>
      </c>
      <c r="F86" t="n" s="31">
        <v>1013.2</v>
      </c>
    </row>
    <row r="87">
      <c r="A87" t="s" s="22">
        <v>10</v>
      </c>
      <c r="C87" t="n" s="28">
        <f>F87*-1</f>
        <v>-2023.0</v>
      </c>
      <c r="D87" t="n" s="18">
        <v>46000.0</v>
      </c>
      <c r="E87" t="s" s="22">
        <v>10</v>
      </c>
      <c r="F87" t="n" s="31">
        <v>2023.0</v>
      </c>
    </row>
    <row r="88">
      <c r="A88" t="s" s="22">
        <v>10</v>
      </c>
      <c r="C88" t="n" s="28">
        <f>F88*-1</f>
        <v>-905.93</v>
      </c>
      <c r="D88" t="n" s="18">
        <v>46000.0</v>
      </c>
      <c r="E88" t="s" s="22">
        <v>10</v>
      </c>
      <c r="F88" t="n" s="31">
        <v>905.93</v>
      </c>
    </row>
    <row r="89">
      <c r="A89" t="s" s="22">
        <v>10</v>
      </c>
      <c r="C89" t="n" s="28">
        <f>F89*-1</f>
        <v>-15684.3</v>
      </c>
      <c r="D89" t="n" s="18">
        <v>46000.0</v>
      </c>
      <c r="E89" t="s" s="22">
        <v>10</v>
      </c>
      <c r="F89" t="n" s="31">
        <v>15684.3</v>
      </c>
    </row>
    <row r="90">
      <c r="A90" t="s" s="22">
        <v>10</v>
      </c>
      <c r="C90" t="n" s="28">
        <f>F90*-1</f>
        <v>-2574.79</v>
      </c>
      <c r="D90" t="n" s="18">
        <v>45999.0</v>
      </c>
      <c r="E90" t="s" s="22">
        <v>10</v>
      </c>
      <c r="F90" t="n" s="31">
        <v>2574.79</v>
      </c>
    </row>
    <row r="91">
      <c r="A91" t="s" s="22">
        <v>10</v>
      </c>
      <c r="C91" t="n" s="28">
        <f>F91*-1</f>
        <v>-144.9</v>
      </c>
      <c r="D91" t="n" s="18">
        <v>45999.0</v>
      </c>
      <c r="E91" t="s" s="22">
        <v>10</v>
      </c>
      <c r="F91" t="n" s="31">
        <v>144.9</v>
      </c>
    </row>
    <row r="92">
      <c r="A92" t="s" s="22">
        <v>10</v>
      </c>
      <c r="C92" t="n" s="28">
        <f>F92*-1</f>
        <v>-905.79</v>
      </c>
      <c r="D92" t="n" s="18">
        <v>45999.0</v>
      </c>
      <c r="E92" t="s" s="22">
        <v>10</v>
      </c>
      <c r="F92" t="n" s="31">
        <v>905.79</v>
      </c>
    </row>
    <row r="93">
      <c r="A93" t="s" s="22">
        <v>10</v>
      </c>
      <c r="C93" t="n" s="28">
        <f>F93*-1</f>
        <v>-1794.6</v>
      </c>
      <c r="D93" t="n" s="18">
        <v>45998.0</v>
      </c>
      <c r="E93" t="s" s="22">
        <v>10</v>
      </c>
      <c r="F93" t="n" s="31">
        <v>1794.6</v>
      </c>
    </row>
    <row r="94">
      <c r="A94" t="s" s="22">
        <v>10</v>
      </c>
      <c r="C94" t="n" s="28">
        <f>F94*-1</f>
        <v>-1002.61</v>
      </c>
      <c r="D94" t="n" s="18">
        <v>45998.0</v>
      </c>
      <c r="E94" t="s" s="22">
        <v>10</v>
      </c>
      <c r="F94" t="n" s="31">
        <v>1002.61</v>
      </c>
    </row>
    <row r="95">
      <c r="A95" t="s" s="22">
        <v>10</v>
      </c>
      <c r="C95" t="n" s="28">
        <f>F95*-1</f>
        <v>-2443.19</v>
      </c>
      <c r="D95" t="n" s="18">
        <v>45997.0</v>
      </c>
      <c r="E95" t="s" s="22">
        <v>10</v>
      </c>
      <c r="F95" t="n" s="31">
        <v>2443.19</v>
      </c>
    </row>
    <row r="96">
      <c r="A96" t="s" s="22">
        <v>10</v>
      </c>
      <c r="C96" t="n" s="28">
        <f>F96*-1</f>
        <v>-496.42</v>
      </c>
      <c r="D96" t="n" s="18">
        <v>45997.0</v>
      </c>
      <c r="E96" t="s" s="22">
        <v>10</v>
      </c>
      <c r="F96" t="n" s="31">
        <v>496.42</v>
      </c>
    </row>
    <row r="97">
      <c r="A97" t="s" s="22">
        <v>10</v>
      </c>
      <c r="C97" t="n" s="28">
        <f>F97*-1</f>
        <v>-15970.97</v>
      </c>
      <c r="D97" t="n" s="18">
        <v>45997.0</v>
      </c>
      <c r="E97" t="s" s="22">
        <v>10</v>
      </c>
      <c r="F97" t="n" s="31">
        <v>15970.97</v>
      </c>
    </row>
    <row r="98">
      <c r="A98" t="s" s="22">
        <v>10</v>
      </c>
      <c r="C98" t="n" s="28">
        <f>F98*-1</f>
        <v>-2244.69</v>
      </c>
      <c r="D98" t="n" s="18">
        <v>45996.0</v>
      </c>
      <c r="E98" t="s" s="22">
        <v>10</v>
      </c>
      <c r="F98" t="n" s="31">
        <v>2244.69</v>
      </c>
    </row>
    <row r="99">
      <c r="A99" t="s" s="22">
        <v>10</v>
      </c>
      <c r="C99" t="n" s="28">
        <f>F99*-1</f>
        <v>-596.94</v>
      </c>
      <c r="D99" t="n" s="18">
        <v>45996.0</v>
      </c>
      <c r="E99" t="s" s="22">
        <v>10</v>
      </c>
      <c r="F99" t="n" s="31">
        <v>596.94</v>
      </c>
    </row>
    <row r="100">
      <c r="A100" t="s" s="22">
        <v>10</v>
      </c>
      <c r="C100" t="n" s="28">
        <f>F100*-1</f>
        <v>-147.63</v>
      </c>
      <c r="D100" t="n" s="18">
        <v>45996.0</v>
      </c>
      <c r="E100" t="s" s="22">
        <v>10</v>
      </c>
      <c r="F100" t="n" s="31">
        <v>147.63</v>
      </c>
    </row>
    <row r="101">
      <c r="A101" t="s" s="22">
        <v>10</v>
      </c>
      <c r="C101" t="n" s="28">
        <f>F101*-1</f>
        <v>-15701.18</v>
      </c>
      <c r="D101" t="n" s="18">
        <v>45996.0</v>
      </c>
      <c r="E101" t="s" s="22">
        <v>10</v>
      </c>
      <c r="F101" t="n" s="31">
        <v>15701.18</v>
      </c>
    </row>
    <row r="102">
      <c r="A102" t="s" s="22">
        <v>10</v>
      </c>
      <c r="C102" t="n" s="28">
        <f>F102*-1</f>
        <v>-2091.9</v>
      </c>
      <c r="D102" t="n" s="18">
        <v>45995.0</v>
      </c>
      <c r="E102" t="s" s="22">
        <v>10</v>
      </c>
      <c r="F102" t="n" s="31">
        <v>2091.9</v>
      </c>
    </row>
    <row r="103">
      <c r="A103" t="s" s="22">
        <v>10</v>
      </c>
      <c r="C103" t="n" s="28">
        <f>F103*-1</f>
        <v>-742.78</v>
      </c>
      <c r="D103" t="n" s="18">
        <v>45995.0</v>
      </c>
      <c r="E103" t="s" s="22">
        <v>10</v>
      </c>
      <c r="F103" t="n" s="31">
        <v>742.78</v>
      </c>
    </row>
    <row r="104">
      <c r="A104" t="s" s="22">
        <v>10</v>
      </c>
      <c r="C104" t="n" s="28">
        <f>F104*-1</f>
        <v>-14691.01</v>
      </c>
      <c r="D104" t="n" s="18">
        <v>45995.0</v>
      </c>
      <c r="E104" t="s" s="22">
        <v>10</v>
      </c>
      <c r="F104" t="n" s="31">
        <v>14691.01</v>
      </c>
    </row>
    <row r="105">
      <c r="A105" t="s" s="22">
        <v>10</v>
      </c>
      <c r="C105" t="n" s="28">
        <f>F105*-1</f>
        <v>-2941.11</v>
      </c>
      <c r="D105" t="n" s="18">
        <v>45994.0</v>
      </c>
      <c r="E105" t="s" s="22">
        <v>10</v>
      </c>
      <c r="F105" t="n" s="31">
        <v>2941.11</v>
      </c>
    </row>
    <row r="106">
      <c r="A106" t="s" s="22">
        <v>10</v>
      </c>
      <c r="C106" t="n" s="28">
        <f>F106*-1</f>
        <v>-742.19</v>
      </c>
      <c r="D106" t="n" s="18">
        <v>45994.0</v>
      </c>
      <c r="E106" t="s" s="22">
        <v>10</v>
      </c>
      <c r="F106" t="n" s="31">
        <v>742.19</v>
      </c>
    </row>
    <row r="107">
      <c r="A107" t="s" s="22">
        <v>10</v>
      </c>
      <c r="C107" t="n" s="28">
        <f>F107*-1</f>
        <v>-45324.72</v>
      </c>
      <c r="D107" t="n" s="18">
        <v>45994.0</v>
      </c>
      <c r="E107" t="s" s="22">
        <v>10</v>
      </c>
      <c r="F107" t="n" s="31">
        <v>45324.72</v>
      </c>
    </row>
    <row r="108">
      <c r="A108" t="s" s="22">
        <v>10</v>
      </c>
      <c r="C108" t="n" s="28">
        <f>F108*-1</f>
        <v>-562.52</v>
      </c>
      <c r="D108" t="n" s="18">
        <v>45993.0</v>
      </c>
      <c r="E108" t="s" s="22">
        <v>10</v>
      </c>
      <c r="F108" t="n" s="31">
        <v>562.52</v>
      </c>
    </row>
    <row r="109">
      <c r="A109" t="s" s="22">
        <v>10</v>
      </c>
      <c r="C109" t="n" s="28">
        <f>F109*-1</f>
        <v>-2642.95</v>
      </c>
      <c r="D109" t="n" s="18">
        <v>45993.0</v>
      </c>
      <c r="E109" t="s" s="22">
        <v>10</v>
      </c>
      <c r="F109" t="n" s="31">
        <v>2642.95</v>
      </c>
    </row>
    <row r="110">
      <c r="A110" t="s" s="22">
        <v>10</v>
      </c>
      <c r="C110" t="n" s="28">
        <f>F110*-1</f>
        <v>-551.03</v>
      </c>
      <c r="D110" t="n" s="18">
        <v>45993.0</v>
      </c>
      <c r="E110" t="s" s="22">
        <v>10</v>
      </c>
      <c r="F110" t="n" s="31">
        <v>551.03</v>
      </c>
    </row>
    <row r="111">
      <c r="A111" t="s" s="22">
        <v>10</v>
      </c>
      <c r="C111" t="n" s="28">
        <f>F111*-1</f>
        <v>-15697.43</v>
      </c>
      <c r="D111" t="n" s="18">
        <v>45993.0</v>
      </c>
      <c r="E111" t="s" s="22">
        <v>10</v>
      </c>
      <c r="F111" t="n" s="31">
        <v>15697.43</v>
      </c>
    </row>
    <row r="112">
      <c r="A112" t="s" s="22">
        <v>10</v>
      </c>
      <c r="C112" t="n" s="28">
        <f>F112*-1</f>
        <v>-2400.45</v>
      </c>
      <c r="D112" t="n" s="18">
        <v>45992.0</v>
      </c>
      <c r="E112" t="s" s="22">
        <v>10</v>
      </c>
      <c r="F112" t="n" s="31">
        <v>2400.45</v>
      </c>
    </row>
    <row r="113">
      <c r="A113" t="s" s="22">
        <v>10</v>
      </c>
      <c r="C113" t="n" s="28">
        <f>F113*-1</f>
        <v>-690.3</v>
      </c>
      <c r="D113" t="n" s="18">
        <v>45992.0</v>
      </c>
      <c r="E113" t="s" s="22">
        <v>10</v>
      </c>
      <c r="F113" t="n" s="31">
        <v>690.3</v>
      </c>
    </row>
    <row r="114">
      <c r="A114" t="s" s="22">
        <v>10</v>
      </c>
      <c r="C114" t="n" s="28">
        <f>F114*-1</f>
        <v>-1584.78</v>
      </c>
      <c r="D114" t="n" s="18">
        <v>45991.0</v>
      </c>
      <c r="E114" t="s" s="22">
        <v>10</v>
      </c>
      <c r="F114" t="n" s="31">
        <v>1584.78</v>
      </c>
    </row>
    <row r="115">
      <c r="A115" t="s" s="22">
        <v>10</v>
      </c>
      <c r="C115" t="n" s="28">
        <f>F115*-1</f>
        <v>-713.73</v>
      </c>
      <c r="D115" t="n" s="18">
        <v>45991.0</v>
      </c>
      <c r="E115" t="s" s="22">
        <v>10</v>
      </c>
      <c r="F115" t="n" s="31">
        <v>713.73</v>
      </c>
    </row>
    <row r="116">
      <c r="A116" t="s" s="22">
        <v>10</v>
      </c>
      <c r="C116" t="n" s="28">
        <f>F116*-1</f>
        <v>-1458.37</v>
      </c>
      <c r="D116" t="n" s="18">
        <v>45990.0</v>
      </c>
      <c r="E116" t="s" s="22">
        <v>10</v>
      </c>
      <c r="F116" t="n" s="31">
        <v>1458.37</v>
      </c>
    </row>
    <row r="117">
      <c r="A117" t="s" s="22">
        <v>10</v>
      </c>
      <c r="C117" t="n" s="28">
        <f>F117*-1</f>
        <v>-280.15</v>
      </c>
      <c r="D117" t="n" s="18">
        <v>45990.0</v>
      </c>
      <c r="E117" t="s" s="22">
        <v>10</v>
      </c>
      <c r="F117" t="n" s="31">
        <v>280.15</v>
      </c>
    </row>
    <row r="118">
      <c r="A118" t="s" s="22">
        <v>10</v>
      </c>
      <c r="C118" t="n" s="28">
        <f>F118*-1</f>
        <v>-9028.79</v>
      </c>
      <c r="D118" t="n" s="18">
        <v>45990.0</v>
      </c>
      <c r="E118" t="s" s="22">
        <v>10</v>
      </c>
      <c r="F118" t="n" s="31">
        <v>9028.79</v>
      </c>
    </row>
    <row r="119">
      <c r="A119" t="s" s="22">
        <v>10</v>
      </c>
      <c r="C119" t="n" s="28">
        <f>F119*-1</f>
        <v>-1694.86</v>
      </c>
      <c r="D119" t="n" s="18">
        <v>45989.0</v>
      </c>
      <c r="E119" t="s" s="22">
        <v>10</v>
      </c>
      <c r="F119" t="n" s="31">
        <v>1694.86</v>
      </c>
    </row>
    <row r="120">
      <c r="A120" t="s" s="22">
        <v>10</v>
      </c>
      <c r="C120" t="n" s="28">
        <f>F120*-1</f>
        <v>-549.03</v>
      </c>
      <c r="D120" t="n" s="18">
        <v>45989.0</v>
      </c>
      <c r="E120" t="s" s="22">
        <v>10</v>
      </c>
      <c r="F120" t="n" s="31">
        <v>549.03</v>
      </c>
    </row>
    <row r="121">
      <c r="A121" t="s" s="22">
        <v>10</v>
      </c>
      <c r="C121" t="n" s="28">
        <f>F121*-1</f>
        <v>-1527.29</v>
      </c>
      <c r="D121" t="n" s="18">
        <v>45988.0</v>
      </c>
      <c r="E121" t="s" s="22">
        <v>10</v>
      </c>
      <c r="F121" t="n" s="31">
        <v>1527.29</v>
      </c>
    </row>
    <row r="122">
      <c r="A122" t="s" s="22">
        <v>10</v>
      </c>
      <c r="C122" t="n" s="28">
        <f>F122*-1</f>
        <v>-533.15</v>
      </c>
      <c r="D122" t="n" s="18">
        <v>45988.0</v>
      </c>
      <c r="E122" t="s" s="22">
        <v>10</v>
      </c>
      <c r="F122" t="n" s="31">
        <v>533.15</v>
      </c>
    </row>
    <row r="123">
      <c r="A123" t="s" s="22">
        <v>10</v>
      </c>
      <c r="C123" t="n" s="28">
        <f>F123*-1</f>
        <v>-7920.56</v>
      </c>
      <c r="D123" t="n" s="18">
        <v>45988.0</v>
      </c>
      <c r="E123" t="s" s="22">
        <v>10</v>
      </c>
      <c r="F123" t="n" s="31">
        <v>7920.56</v>
      </c>
    </row>
    <row r="124">
      <c r="A124" t="s" s="22">
        <v>10</v>
      </c>
      <c r="C124" t="n" s="28">
        <f>F124*-1</f>
        <v>-1852.34</v>
      </c>
      <c r="D124" t="n" s="18">
        <v>45987.0</v>
      </c>
      <c r="E124" t="s" s="22">
        <v>10</v>
      </c>
      <c r="F124" t="n" s="31">
        <v>1852.34</v>
      </c>
    </row>
    <row r="125">
      <c r="A125" t="s" s="22">
        <v>10</v>
      </c>
      <c r="C125" t="n" s="28">
        <f>F125*-1</f>
        <v>-207.23</v>
      </c>
      <c r="D125" t="n" s="18">
        <v>45987.0</v>
      </c>
      <c r="E125" t="s" s="22">
        <v>10</v>
      </c>
      <c r="F125" t="n" s="31">
        <v>207.23</v>
      </c>
    </row>
    <row r="126">
      <c r="A126" t="s" s="22">
        <v>10</v>
      </c>
      <c r="C126" t="n" s="28">
        <f>F126*-1</f>
        <v>-137.54</v>
      </c>
      <c r="D126" t="n" s="18">
        <v>45987.0</v>
      </c>
      <c r="E126" t="s" s="22">
        <v>10</v>
      </c>
      <c r="F126" t="n" s="31">
        <v>137.54</v>
      </c>
    </row>
    <row r="127">
      <c r="A127" t="s" s="22">
        <v>10</v>
      </c>
      <c r="C127" t="n" s="28">
        <f>F127*-1</f>
        <v>-20120.12</v>
      </c>
      <c r="D127" t="n" s="18">
        <v>45987.0</v>
      </c>
      <c r="E127" t="s" s="22">
        <v>10</v>
      </c>
      <c r="F127" t="n" s="31">
        <v>20120.12</v>
      </c>
    </row>
    <row r="128">
      <c r="A128" t="s" s="22">
        <v>10</v>
      </c>
      <c r="C128" t="n" s="28">
        <f>F128*-1</f>
        <v>-1207.25</v>
      </c>
      <c r="D128" t="n" s="18">
        <v>45986.0</v>
      </c>
      <c r="E128" t="s" s="22">
        <v>10</v>
      </c>
      <c r="F128" t="n" s="31">
        <v>1207.25</v>
      </c>
    </row>
    <row r="129">
      <c r="A129" t="s" s="22">
        <v>10</v>
      </c>
      <c r="C129" t="n" s="28">
        <f>F129*-1</f>
        <v>-413.95</v>
      </c>
      <c r="D129" t="n" s="18">
        <v>45986.0</v>
      </c>
      <c r="E129" t="s" s="22">
        <v>10</v>
      </c>
      <c r="F129" t="n" s="31">
        <v>413.95</v>
      </c>
    </row>
    <row r="130">
      <c r="A130" t="s" s="22">
        <v>10</v>
      </c>
      <c r="C130" t="n" s="28">
        <f>F130*-1</f>
        <v>-6235.59</v>
      </c>
      <c r="D130" t="n" s="18">
        <v>45986.0</v>
      </c>
      <c r="E130" t="s" s="22">
        <v>10</v>
      </c>
      <c r="F130" t="n" s="31">
        <v>6235.59</v>
      </c>
    </row>
    <row r="131">
      <c r="A131" t="s" s="22">
        <v>10</v>
      </c>
      <c r="C131" t="n" s="28">
        <f>F131*-1</f>
        <v>-1297.79</v>
      </c>
      <c r="D131" t="n" s="18">
        <v>45985.0</v>
      </c>
      <c r="E131" t="s" s="22">
        <v>10</v>
      </c>
      <c r="F131" t="n" s="31">
        <v>1297.79</v>
      </c>
    </row>
    <row r="132">
      <c r="A132" t="s" s="22">
        <v>10</v>
      </c>
      <c r="C132" t="n" s="28">
        <f>F132*-1</f>
        <v>-1461.63</v>
      </c>
      <c r="D132" t="n" s="18">
        <v>45985.0</v>
      </c>
      <c r="E132" t="s" s="22">
        <v>10</v>
      </c>
      <c r="F132" t="n" s="31">
        <v>1461.63</v>
      </c>
    </row>
    <row r="133">
      <c r="A133" t="s" s="22">
        <v>10</v>
      </c>
      <c r="C133" t="n" s="28">
        <f>F133*-1</f>
        <v>-112.01</v>
      </c>
      <c r="D133" t="n" s="18">
        <v>45985.0</v>
      </c>
      <c r="E133" t="s" s="22">
        <v>10</v>
      </c>
      <c r="F133" t="n" s="31">
        <v>112.01</v>
      </c>
    </row>
    <row r="134">
      <c r="A134" t="s" s="22">
        <v>10</v>
      </c>
      <c r="C134" t="n" s="28">
        <f>F134*-1</f>
        <v>-1471.23</v>
      </c>
      <c r="D134" t="n" s="18">
        <v>45984.0</v>
      </c>
      <c r="E134" t="s" s="22">
        <v>10</v>
      </c>
      <c r="F134" t="n" s="31">
        <v>1471.23</v>
      </c>
    </row>
    <row r="135">
      <c r="A135" t="s" s="22">
        <v>10</v>
      </c>
      <c r="C135" t="n" s="28">
        <f>F135*-1</f>
        <v>-448.31</v>
      </c>
      <c r="D135" t="n" s="18">
        <v>45984.0</v>
      </c>
      <c r="E135" t="s" s="22">
        <v>10</v>
      </c>
      <c r="F135" t="n" s="31">
        <v>448.31</v>
      </c>
    </row>
    <row r="136">
      <c r="A136" t="s" s="22">
        <v>10</v>
      </c>
      <c r="C136" t="n" s="28">
        <f>F136*-1</f>
        <v>-188.16</v>
      </c>
      <c r="D136" t="n" s="18">
        <v>45983.0</v>
      </c>
      <c r="E136" t="s" s="22">
        <v>10</v>
      </c>
      <c r="F136" t="n" s="31">
        <v>188.16</v>
      </c>
    </row>
    <row r="137">
      <c r="A137" t="s" s="22">
        <v>10</v>
      </c>
      <c r="C137" t="n" s="28">
        <f>F137*-1</f>
        <v>-1313.59</v>
      </c>
      <c r="D137" t="n" s="18">
        <v>45983.0</v>
      </c>
      <c r="E137" t="s" s="22">
        <v>10</v>
      </c>
      <c r="F137" t="n" s="31">
        <v>1313.59</v>
      </c>
    </row>
    <row r="138">
      <c r="A138" t="s" s="22">
        <v>10</v>
      </c>
      <c r="C138" t="n" s="28">
        <f>F138*-1</f>
        <v>-97.59</v>
      </c>
      <c r="D138" t="n" s="18">
        <v>45983.0</v>
      </c>
      <c r="E138" t="s" s="22">
        <v>10</v>
      </c>
      <c r="F138" t="n" s="31">
        <v>97.59</v>
      </c>
    </row>
    <row r="139">
      <c r="A139" t="s" s="22">
        <v>10</v>
      </c>
      <c r="C139" t="n" s="28">
        <f>F139*-1</f>
        <v>-4342.7</v>
      </c>
      <c r="D139" t="n" s="18">
        <v>45983.0</v>
      </c>
      <c r="E139" t="s" s="22">
        <v>10</v>
      </c>
      <c r="F139" t="n" s="31">
        <v>4342.7</v>
      </c>
    </row>
    <row r="140">
      <c r="A140" t="s" s="22">
        <v>10</v>
      </c>
      <c r="C140" t="n" s="28">
        <f>F140*-1</f>
        <v>-342.89</v>
      </c>
      <c r="D140" t="n" s="18">
        <v>45982.0</v>
      </c>
      <c r="E140" t="s" s="22">
        <v>10</v>
      </c>
      <c r="F140" t="n" s="31">
        <v>342.89</v>
      </c>
    </row>
    <row r="141">
      <c r="A141" t="s" s="22">
        <v>10</v>
      </c>
      <c r="C141" t="n" s="28">
        <f>F141*-1</f>
        <v>-192.92</v>
      </c>
      <c r="D141" t="n" s="18">
        <v>45982.0</v>
      </c>
      <c r="E141" t="s" s="22">
        <v>10</v>
      </c>
      <c r="F141" t="n" s="31">
        <v>192.92</v>
      </c>
    </row>
    <row r="142">
      <c r="A142" t="s" s="22">
        <v>10</v>
      </c>
      <c r="C142" t="n" s="28">
        <f>F142*-1</f>
        <v>-3964.59</v>
      </c>
      <c r="D142" t="n" s="18">
        <v>45982.0</v>
      </c>
      <c r="E142" t="s" s="22">
        <v>10</v>
      </c>
      <c r="F142" t="n" s="31">
        <v>3964.59</v>
      </c>
    </row>
    <row r="143">
      <c r="A143" t="s" s="22">
        <v>10</v>
      </c>
      <c r="C143" t="n" s="28">
        <f>F143*-1</f>
        <v>-920.92</v>
      </c>
      <c r="D143" t="n" s="18">
        <v>45981.0</v>
      </c>
      <c r="E143" t="s" s="22">
        <v>10</v>
      </c>
      <c r="F143" t="n" s="31">
        <v>920.92</v>
      </c>
    </row>
    <row r="144">
      <c r="A144" t="s" s="22">
        <v>10</v>
      </c>
      <c r="C144" t="n" s="28">
        <f>F144*-1</f>
        <v>-72.29</v>
      </c>
      <c r="D144" t="n" s="18">
        <v>45981.0</v>
      </c>
      <c r="E144" t="s" s="22">
        <v>10</v>
      </c>
      <c r="F144" t="n" s="31">
        <v>72.29</v>
      </c>
    </row>
    <row r="145">
      <c r="A145" t="s" s="22">
        <v>10</v>
      </c>
      <c r="C145" t="n" s="28">
        <f>F145*-1</f>
        <v>-3904.43</v>
      </c>
      <c r="D145" t="n" s="18">
        <v>45981.0</v>
      </c>
      <c r="E145" t="s" s="22">
        <v>10</v>
      </c>
      <c r="F145" t="n" s="31">
        <v>3904.43</v>
      </c>
    </row>
    <row r="146">
      <c r="A146" t="s" s="22">
        <v>10</v>
      </c>
      <c r="C146" t="n" s="28">
        <f>F146*-1</f>
        <v>-511.07</v>
      </c>
      <c r="D146" t="n" s="18">
        <v>45980.0</v>
      </c>
      <c r="E146" t="s" s="22">
        <v>10</v>
      </c>
      <c r="F146" t="n" s="31">
        <v>511.07</v>
      </c>
    </row>
    <row r="147">
      <c r="A147" t="s" s="22">
        <v>10</v>
      </c>
      <c r="C147" t="n" s="28">
        <f>F147*-1</f>
        <v>-122.92</v>
      </c>
      <c r="D147" t="n" s="18">
        <v>45980.0</v>
      </c>
      <c r="E147" t="s" s="22">
        <v>10</v>
      </c>
      <c r="F147" t="n" s="31">
        <v>122.92</v>
      </c>
    </row>
    <row r="148">
      <c r="A148" t="s" s="22">
        <v>10</v>
      </c>
      <c r="C148" t="n" s="28">
        <f>F148*-1</f>
        <v>-11594.21</v>
      </c>
      <c r="D148" t="n" s="18">
        <v>45980.0</v>
      </c>
      <c r="E148" t="s" s="22">
        <v>10</v>
      </c>
      <c r="F148" t="n" s="31">
        <v>11594.21</v>
      </c>
    </row>
    <row r="149">
      <c r="A149" t="s" s="22">
        <v>10</v>
      </c>
      <c r="C149" t="n" s="28">
        <f>F149*-1</f>
        <v>-1018.11</v>
      </c>
      <c r="D149" t="n" s="18">
        <v>45979.0</v>
      </c>
      <c r="E149" t="s" s="22">
        <v>10</v>
      </c>
      <c r="F149" t="n" s="31">
        <v>1018.11</v>
      </c>
    </row>
    <row r="150">
      <c r="A150" t="s" s="22">
        <v>10</v>
      </c>
      <c r="C150" t="n" s="28">
        <f>F150*-1</f>
        <v>-2458.25</v>
      </c>
      <c r="D150" t="n" s="18">
        <v>45979.0</v>
      </c>
      <c r="E150" t="s" s="22">
        <v>10</v>
      </c>
      <c r="F150" t="n" s="31">
        <v>2458.25</v>
      </c>
    </row>
    <row r="151">
      <c r="A151" t="s" s="22">
        <v>10</v>
      </c>
      <c r="C151" t="n" s="28">
        <f>F151*-1</f>
        <v>-420.24</v>
      </c>
      <c r="D151" t="n" s="18">
        <v>45978.0</v>
      </c>
      <c r="E151" t="s" s="22">
        <v>10</v>
      </c>
      <c r="F151" t="n" s="31">
        <v>420.24</v>
      </c>
    </row>
    <row r="152">
      <c r="A152" t="s" s="22">
        <v>10</v>
      </c>
      <c r="C152" t="n" s="28">
        <f>F152*-1</f>
        <v>-222.89</v>
      </c>
      <c r="D152" t="n" s="18">
        <v>45978.0</v>
      </c>
      <c r="E152" t="s" s="22">
        <v>10</v>
      </c>
      <c r="F152" t="n" s="31">
        <v>222.89</v>
      </c>
    </row>
    <row r="153">
      <c r="A153" t="s" s="22">
        <v>10</v>
      </c>
      <c r="C153" t="n" s="28">
        <f>F153*-1</f>
        <v>-893.93</v>
      </c>
      <c r="D153" t="n" s="18">
        <v>45977.0</v>
      </c>
      <c r="E153" t="s" s="22">
        <v>10</v>
      </c>
      <c r="F153" t="n" s="31">
        <v>893.93</v>
      </c>
    </row>
    <row r="154">
      <c r="A154" t="s" s="22">
        <v>10</v>
      </c>
      <c r="C154" t="n" s="28">
        <f>F154*-1</f>
        <v>-308.13</v>
      </c>
      <c r="D154" t="n" s="18">
        <v>45976.0</v>
      </c>
      <c r="E154" t="s" s="22">
        <v>10</v>
      </c>
      <c r="F154" t="n" s="31">
        <v>308.13</v>
      </c>
    </row>
    <row r="155">
      <c r="A155" t="s" s="22">
        <v>10</v>
      </c>
      <c r="C155" t="n" s="28">
        <f>F155*-1</f>
        <v>-112.61</v>
      </c>
      <c r="D155" t="n" s="18">
        <v>45976.0</v>
      </c>
      <c r="E155" t="s" s="22">
        <v>10</v>
      </c>
      <c r="F155" t="n" s="31">
        <v>112.61</v>
      </c>
    </row>
    <row r="156">
      <c r="A156" t="s" s="22">
        <v>10</v>
      </c>
      <c r="C156" t="n" s="28">
        <f>F156*-1</f>
        <v>-3283.85</v>
      </c>
      <c r="D156" t="n" s="18">
        <v>45976.0</v>
      </c>
      <c r="E156" t="s" s="22">
        <v>10</v>
      </c>
      <c r="F156" t="n" s="31">
        <v>3283.85</v>
      </c>
    </row>
    <row r="157">
      <c r="A157" t="s" s="22">
        <v>10</v>
      </c>
      <c r="C157" t="n" s="28">
        <f>F157*-1</f>
        <v>-379.77</v>
      </c>
      <c r="D157" t="n" s="18">
        <v>45975.0</v>
      </c>
      <c r="E157" t="s" s="22">
        <v>10</v>
      </c>
      <c r="F157" t="n" s="31">
        <v>379.77</v>
      </c>
    </row>
    <row r="158">
      <c r="A158" t="s" s="22">
        <v>10</v>
      </c>
      <c r="C158" t="n" s="28">
        <f>F158*-1</f>
        <v>-137.05</v>
      </c>
      <c r="D158" t="n" s="18">
        <v>45975.0</v>
      </c>
      <c r="E158" t="s" s="22">
        <v>10</v>
      </c>
      <c r="F158" t="n" s="31">
        <v>137.05</v>
      </c>
    </row>
    <row r="159">
      <c r="A159" t="s" s="22">
        <v>10</v>
      </c>
      <c r="C159" t="n" s="28">
        <f>F159*-1</f>
        <v>-1962.49</v>
      </c>
      <c r="D159" t="n" s="18">
        <v>45975.0</v>
      </c>
      <c r="E159" t="s" s="22">
        <v>10</v>
      </c>
      <c r="F159" t="n" s="31">
        <v>1962.49</v>
      </c>
    </row>
    <row r="160">
      <c r="A160" t="s" s="22">
        <v>10</v>
      </c>
      <c r="C160" t="n" s="28">
        <f>F160*-1</f>
        <v>-418.01</v>
      </c>
      <c r="D160" t="n" s="18">
        <v>45974.0</v>
      </c>
      <c r="E160" t="s" s="22">
        <v>10</v>
      </c>
      <c r="F160" t="n" s="31">
        <v>418.01</v>
      </c>
    </row>
    <row r="161">
      <c r="A161" t="s" s="22">
        <v>10</v>
      </c>
      <c r="C161" t="n" s="28">
        <f>F161*-1</f>
        <v>-10309.88</v>
      </c>
      <c r="D161" t="n" s="18">
        <v>45974.0</v>
      </c>
      <c r="E161" t="s" s="22">
        <v>10</v>
      </c>
      <c r="F161" t="n" s="31">
        <v>10309.88</v>
      </c>
    </row>
    <row r="162">
      <c r="A162" t="s" s="22">
        <v>10</v>
      </c>
      <c r="C162" t="n" s="28">
        <f>F162*-1</f>
        <v>-384.22</v>
      </c>
      <c r="D162" t="n" s="18">
        <v>45973.0</v>
      </c>
      <c r="E162" t="s" s="22">
        <v>10</v>
      </c>
      <c r="F162" t="n" s="31">
        <v>384.22</v>
      </c>
    </row>
    <row r="163">
      <c r="A163" t="s" s="22">
        <v>10</v>
      </c>
      <c r="C163" t="n" s="28">
        <f>F163*-1</f>
        <v>-1731.7</v>
      </c>
      <c r="D163" t="n" s="18">
        <v>45973.0</v>
      </c>
      <c r="E163" t="s" s="22">
        <v>10</v>
      </c>
      <c r="F163" t="n" s="31">
        <v>1731.7</v>
      </c>
    </row>
    <row r="164">
      <c r="A164" t="s" s="22">
        <v>10</v>
      </c>
      <c r="C164" t="n" s="28">
        <f>F164*-1</f>
        <v>-355.44</v>
      </c>
      <c r="D164" t="n" s="18">
        <v>45972.0</v>
      </c>
      <c r="E164" t="s" s="22">
        <v>10</v>
      </c>
      <c r="F164" t="n" s="31">
        <v>355.44</v>
      </c>
    </row>
    <row r="165">
      <c r="A165" t="s" s="22">
        <v>10</v>
      </c>
      <c r="C165" t="n" s="28">
        <f>F165*-1</f>
        <v>-139.25</v>
      </c>
      <c r="D165" t="n" s="18">
        <v>45972.0</v>
      </c>
      <c r="E165" t="s" s="22">
        <v>10</v>
      </c>
      <c r="F165" t="n" s="31">
        <v>139.25</v>
      </c>
    </row>
    <row r="166">
      <c r="A166" t="s" s="22">
        <v>10</v>
      </c>
      <c r="C166" t="n" s="28">
        <f>F166*-1</f>
        <v>-86.27</v>
      </c>
      <c r="D166" t="n" s="18">
        <v>45971.0</v>
      </c>
      <c r="E166" t="s" s="22">
        <v>10</v>
      </c>
      <c r="F166" t="n" s="31">
        <v>86.27</v>
      </c>
    </row>
    <row r="167">
      <c r="A167" t="s" s="22">
        <v>10</v>
      </c>
      <c r="C167" t="n" s="28">
        <f>F167*-1</f>
        <v>-103.51</v>
      </c>
      <c r="D167" t="n" s="18">
        <v>45971.0</v>
      </c>
      <c r="E167" t="s" s="22">
        <v>10</v>
      </c>
      <c r="F167" t="n" s="31">
        <v>103.51</v>
      </c>
    </row>
    <row r="168">
      <c r="A168" t="s" s="22">
        <v>10</v>
      </c>
      <c r="C168" t="n" s="28">
        <f>F168*-1</f>
        <v>-492.92</v>
      </c>
      <c r="D168" t="n" s="18">
        <v>45970.0</v>
      </c>
      <c r="E168" t="s" s="22">
        <v>10</v>
      </c>
      <c r="F168" t="n" s="31">
        <v>492.92</v>
      </c>
    </row>
    <row r="169">
      <c r="A169" t="s" s="22">
        <v>10</v>
      </c>
      <c r="C169" t="n" s="28">
        <f>F169*-1</f>
        <v>-92.15</v>
      </c>
      <c r="D169" t="n" s="18">
        <v>45970.0</v>
      </c>
      <c r="E169" t="s" s="22">
        <v>10</v>
      </c>
      <c r="F169" t="n" s="31">
        <v>92.15</v>
      </c>
    </row>
    <row r="170">
      <c r="A170" t="s" s="22">
        <v>10</v>
      </c>
      <c r="C170" t="n" s="28">
        <f>F170*-1</f>
        <v>-182.38</v>
      </c>
      <c r="D170" t="n" s="18">
        <v>45969.0</v>
      </c>
      <c r="E170" t="s" s="22">
        <v>10</v>
      </c>
      <c r="F170" t="n" s="31">
        <v>182.38</v>
      </c>
    </row>
    <row r="171">
      <c r="A171" t="s" s="22">
        <v>10</v>
      </c>
      <c r="C171" t="n" s="28">
        <f>F171*-1</f>
        <v>-2928.04</v>
      </c>
      <c r="D171" t="n" s="18">
        <v>45969.0</v>
      </c>
      <c r="E171" t="s" s="22">
        <v>10</v>
      </c>
      <c r="F171" t="n" s="31">
        <v>2928.04</v>
      </c>
    </row>
    <row r="172">
      <c r="A172" t="s" s="22">
        <v>10</v>
      </c>
      <c r="C172" t="n" s="28">
        <f>F172*-1</f>
        <v>-82.95</v>
      </c>
      <c r="D172" t="n" s="18">
        <v>45968.0</v>
      </c>
      <c r="E172" t="s" s="22">
        <v>10</v>
      </c>
      <c r="F172" t="n" s="31">
        <v>82.95</v>
      </c>
    </row>
    <row r="173">
      <c r="A173" t="s" s="22">
        <v>10</v>
      </c>
      <c r="C173" t="n" s="28">
        <f>F173*-1</f>
        <v>-2094.03</v>
      </c>
      <c r="D173" t="n" s="18">
        <v>45968.0</v>
      </c>
      <c r="E173" t="s" s="22">
        <v>10</v>
      </c>
      <c r="F173" t="n" s="31">
        <v>2094.03</v>
      </c>
    </row>
    <row r="174">
      <c r="A174" t="s" s="22">
        <v>10</v>
      </c>
      <c r="C174" t="n" s="28">
        <f>F174*-1</f>
        <v>-311.35</v>
      </c>
      <c r="D174" t="n" s="18">
        <v>45967.0</v>
      </c>
      <c r="E174" t="s" s="22">
        <v>10</v>
      </c>
      <c r="F174" t="n" s="31">
        <v>311.35</v>
      </c>
    </row>
    <row r="175">
      <c r="A175" t="s" s="22">
        <v>10</v>
      </c>
      <c r="C175" t="n" s="28">
        <f>F175*-1</f>
        <v>-1928.47</v>
      </c>
      <c r="D175" t="n" s="18">
        <v>45967.0</v>
      </c>
      <c r="E175" t="s" s="22">
        <v>10</v>
      </c>
      <c r="F175" t="n" s="31">
        <v>1928.47</v>
      </c>
    </row>
    <row r="176">
      <c r="A176" t="s" s="22">
        <v>10</v>
      </c>
      <c r="C176" t="n" s="28">
        <f>F176*-1</f>
        <v>44.95</v>
      </c>
      <c r="D176" t="n" s="18">
        <v>45966.0</v>
      </c>
      <c r="E176" t="s" s="22">
        <v>10</v>
      </c>
      <c r="F176" t="n" s="31">
        <v>-44.95</v>
      </c>
    </row>
    <row r="177">
      <c r="A177" t="s" s="22">
        <v>10</v>
      </c>
      <c r="C177" t="n" s="28">
        <f>F177*-1</f>
        <v>-436.52</v>
      </c>
      <c r="D177" t="n" s="18">
        <v>45966.0</v>
      </c>
      <c r="E177" t="s" s="22">
        <v>10</v>
      </c>
      <c r="F177" t="n" s="31">
        <v>436.52</v>
      </c>
    </row>
    <row r="178">
      <c r="A178" t="s" s="22">
        <v>10</v>
      </c>
      <c r="C178" t="n" s="28">
        <f>F178*-1</f>
        <v>-49.99</v>
      </c>
      <c r="D178" t="n" s="18">
        <v>45966.0</v>
      </c>
      <c r="E178" t="s" s="22">
        <v>10</v>
      </c>
      <c r="F178" t="n" s="31">
        <v>49.99</v>
      </c>
    </row>
    <row r="179">
      <c r="A179" t="s" s="22">
        <v>10</v>
      </c>
      <c r="C179" t="n" s="28">
        <f>F179*-1</f>
        <v>-8117.34</v>
      </c>
      <c r="D179" t="n" s="18">
        <v>45966.0</v>
      </c>
      <c r="E179" t="s" s="22">
        <v>10</v>
      </c>
      <c r="F179" t="n" s="31">
        <v>8117.34</v>
      </c>
    </row>
    <row r="180">
      <c r="A180" t="s" s="22">
        <v>10</v>
      </c>
      <c r="C180" t="n" s="28">
        <f>F180*-1</f>
        <v>-727.35</v>
      </c>
      <c r="D180" t="n" s="18">
        <v>45965.0</v>
      </c>
      <c r="E180" t="s" s="22">
        <v>10</v>
      </c>
      <c r="F180" t="n" s="31">
        <v>727.35</v>
      </c>
    </row>
    <row r="181">
      <c r="A181" t="s" s="22">
        <v>10</v>
      </c>
      <c r="C181" t="n" s="28">
        <f>F181*-1</f>
        <v>-1638.58</v>
      </c>
      <c r="D181" t="n" s="18">
        <v>45965.0</v>
      </c>
      <c r="E181" t="s" s="22">
        <v>10</v>
      </c>
      <c r="F181" t="n" s="31">
        <v>1638.58</v>
      </c>
    </row>
    <row r="182">
      <c r="A182" t="s" s="22">
        <v>10</v>
      </c>
      <c r="C182" t="n" s="28">
        <f>F182*-1</f>
        <v>-46.26</v>
      </c>
      <c r="D182" t="n" s="18">
        <v>45964.0</v>
      </c>
      <c r="E182" t="s" s="22">
        <v>10</v>
      </c>
      <c r="F182" t="n" s="31">
        <v>46.26</v>
      </c>
    </row>
    <row r="183">
      <c r="A183" t="s" s="22">
        <v>10</v>
      </c>
      <c r="C183" t="n" s="28">
        <f>F183*-1</f>
        <v>-49.99</v>
      </c>
      <c r="D183" t="n" s="18">
        <v>45964.0</v>
      </c>
      <c r="E183" t="s" s="22">
        <v>10</v>
      </c>
      <c r="F183" t="n" s="31">
        <v>49.99</v>
      </c>
    </row>
    <row r="184">
      <c r="A184" t="s" s="22">
        <v>10</v>
      </c>
      <c r="C184" t="n" s="28">
        <f>F184*-1</f>
        <v>-486.5</v>
      </c>
      <c r="D184" t="n" s="18">
        <v>45963.0</v>
      </c>
      <c r="E184" t="s" s="22">
        <v>10</v>
      </c>
      <c r="F184" t="n" s="31">
        <v>486.5</v>
      </c>
    </row>
    <row r="185">
      <c r="A185" t="s" s="22">
        <v>10</v>
      </c>
      <c r="C185" t="n" s="28">
        <f>F185*-1</f>
        <v>-218.9</v>
      </c>
      <c r="D185" t="n" s="18">
        <v>45963.0</v>
      </c>
      <c r="E185" t="s" s="22">
        <v>10</v>
      </c>
      <c r="F185" t="n" s="31">
        <v>218.9</v>
      </c>
    </row>
    <row r="186">
      <c r="A186" t="s" s="22">
        <v>10</v>
      </c>
      <c r="C186" t="n" s="28">
        <f>F186*-1</f>
        <v>-341.05</v>
      </c>
      <c r="D186" t="n" s="18">
        <v>45962.0</v>
      </c>
      <c r="E186" t="s" s="22">
        <v>10</v>
      </c>
      <c r="F186" t="n" s="31">
        <v>341.05</v>
      </c>
    </row>
    <row r="187">
      <c r="A187" t="s" s="22">
        <v>10</v>
      </c>
      <c r="C187" t="n" s="28">
        <f>F187*-1</f>
        <v>-1310.34</v>
      </c>
      <c r="D187" t="n" s="18">
        <v>45962.0</v>
      </c>
      <c r="E187" t="s" s="22">
        <v>10</v>
      </c>
      <c r="F187" t="n" s="31">
        <v>1310.34</v>
      </c>
    </row>
    <row r="188">
      <c r="A188" t="s" s="22">
        <v>10</v>
      </c>
      <c r="C188" t="n" s="28">
        <f>F188*-1</f>
        <v>-477.4</v>
      </c>
      <c r="D188" t="n" s="18">
        <v>45961.0</v>
      </c>
      <c r="E188" t="s" s="22">
        <v>10</v>
      </c>
      <c r="F188" t="n" s="31">
        <v>477.4</v>
      </c>
    </row>
    <row r="189">
      <c r="A189" t="s" s="22">
        <v>10</v>
      </c>
      <c r="C189" t="n" s="28">
        <f>F189*-1</f>
        <v>-1277.81</v>
      </c>
      <c r="D189" t="n" s="18">
        <v>45961.0</v>
      </c>
      <c r="E189" t="s" s="22">
        <v>10</v>
      </c>
      <c r="F189" t="n" s="31">
        <v>1277.81</v>
      </c>
    </row>
    <row r="190">
      <c r="A190" t="s" s="22">
        <v>10</v>
      </c>
      <c r="C190" t="n" s="28">
        <f>F190*-1</f>
        <v>-185.96</v>
      </c>
      <c r="D190" t="n" s="18">
        <v>45960.0</v>
      </c>
      <c r="E190" t="s" s="22">
        <v>10</v>
      </c>
      <c r="F190" t="n" s="31">
        <v>185.96</v>
      </c>
    </row>
    <row r="191">
      <c r="A191" t="s" s="22">
        <v>10</v>
      </c>
      <c r="C191" t="n" s="28">
        <f>F191*-1</f>
        <v>-1256.75</v>
      </c>
      <c r="D191" t="n" s="18">
        <v>45960.0</v>
      </c>
      <c r="E191" t="s" s="22">
        <v>10</v>
      </c>
      <c r="F191" t="n" s="31">
        <v>1256.75</v>
      </c>
    </row>
    <row r="192">
      <c r="A192" t="s" s="22">
        <v>10</v>
      </c>
      <c r="C192" t="n" s="28">
        <f>F192*-1</f>
        <v>-174.23</v>
      </c>
      <c r="D192" t="n" s="18">
        <v>45959.0</v>
      </c>
      <c r="E192" t="s" s="22">
        <v>10</v>
      </c>
      <c r="F192" t="n" s="31">
        <v>174.23</v>
      </c>
    </row>
    <row r="193">
      <c r="A193" t="s" s="22">
        <v>10</v>
      </c>
      <c r="C193" t="n" s="28">
        <f>F193*-1</f>
        <v>-4059.73</v>
      </c>
      <c r="D193" t="n" s="18">
        <v>45959.0</v>
      </c>
      <c r="E193" t="s" s="22">
        <v>10</v>
      </c>
      <c r="F193" t="n" s="31">
        <v>4059.73</v>
      </c>
    </row>
    <row r="194">
      <c r="A194" t="s" s="22">
        <v>10</v>
      </c>
      <c r="C194" t="n" s="28">
        <f>F194*-1</f>
        <v>-362.77</v>
      </c>
      <c r="D194" t="n" s="18">
        <v>45958.0</v>
      </c>
      <c r="E194" t="s" s="22">
        <v>10</v>
      </c>
      <c r="F194" t="n" s="31">
        <v>362.77</v>
      </c>
    </row>
    <row r="195">
      <c r="A195" t="s" s="22">
        <v>10</v>
      </c>
      <c r="C195" t="n" s="28">
        <f>F195*-1</f>
        <v>-72.29</v>
      </c>
      <c r="D195" t="n" s="18">
        <v>45958.0</v>
      </c>
      <c r="E195" t="s" s="22">
        <v>10</v>
      </c>
      <c r="F195" t="n" s="31">
        <v>72.29</v>
      </c>
    </row>
    <row r="196">
      <c r="A196" t="s" s="22">
        <v>10</v>
      </c>
      <c r="C196" t="n" s="28">
        <f>F196*-1</f>
        <v>-1194.35</v>
      </c>
      <c r="D196" t="n" s="18">
        <v>45958.0</v>
      </c>
      <c r="E196" t="s" s="22">
        <v>10</v>
      </c>
      <c r="F196" t="n" s="31">
        <v>1194.35</v>
      </c>
    </row>
    <row r="197">
      <c r="A197" t="s" s="22">
        <v>10</v>
      </c>
      <c r="C197" t="n" s="28">
        <f>F197*-1</f>
        <v>-247.56</v>
      </c>
      <c r="D197" t="n" s="18">
        <v>45957.0</v>
      </c>
      <c r="E197" t="s" s="22">
        <v>10</v>
      </c>
      <c r="F197" t="n" s="31">
        <v>247.56</v>
      </c>
    </row>
    <row r="198">
      <c r="A198" t="s" s="22">
        <v>10</v>
      </c>
      <c r="C198" t="n" s="28">
        <f>F198*-1</f>
        <v>-86.27</v>
      </c>
      <c r="D198" t="n" s="18">
        <v>45956.0</v>
      </c>
      <c r="E198" t="s" s="22">
        <v>10</v>
      </c>
      <c r="F198" t="n" s="31">
        <v>86.27</v>
      </c>
    </row>
    <row r="199">
      <c r="A199" t="s" s="22">
        <v>10</v>
      </c>
      <c r="C199" t="n" s="28">
        <f>F199*-1</f>
        <v>-80.4</v>
      </c>
      <c r="D199" t="n" s="18">
        <v>45956.0</v>
      </c>
      <c r="E199" t="s" s="22">
        <v>10</v>
      </c>
      <c r="F199" t="n" s="31">
        <v>80.4</v>
      </c>
    </row>
    <row r="200">
      <c r="A200" t="s" s="22">
        <v>10</v>
      </c>
      <c r="C200" t="n" s="28">
        <f>F200*-1</f>
        <v>-136.87</v>
      </c>
      <c r="D200" t="n" s="18">
        <v>45955.0</v>
      </c>
      <c r="E200" t="s" s="22">
        <v>10</v>
      </c>
      <c r="F200" t="n" s="31">
        <v>136.87</v>
      </c>
    </row>
    <row r="201">
      <c r="A201" t="s" s="22">
        <v>10</v>
      </c>
      <c r="C201" t="n" s="28">
        <f>F201*-1</f>
        <v>-75.65</v>
      </c>
      <c r="D201" t="n" s="18">
        <v>45955.0</v>
      </c>
      <c r="E201" t="s" s="22">
        <v>10</v>
      </c>
      <c r="F201" t="n" s="31">
        <v>75.65</v>
      </c>
    </row>
    <row r="202">
      <c r="A202" t="s" s="22">
        <v>10</v>
      </c>
      <c r="C202" t="n" s="28">
        <f>F202*-1</f>
        <v>-1489.72</v>
      </c>
      <c r="D202" t="n" s="18">
        <v>45955.0</v>
      </c>
      <c r="E202" t="s" s="22">
        <v>10</v>
      </c>
      <c r="F202" t="n" s="31">
        <v>1489.72</v>
      </c>
    </row>
    <row r="203">
      <c r="A203" t="s" s="22">
        <v>10</v>
      </c>
      <c r="C203" t="n" s="28">
        <f>F203*-1</f>
        <v>-55.43</v>
      </c>
      <c r="D203" t="n" s="18">
        <v>45954.0</v>
      </c>
      <c r="E203" t="s" s="22">
        <v>10</v>
      </c>
      <c r="F203" t="n" s="31">
        <v>55.43</v>
      </c>
    </row>
    <row r="204">
      <c r="A204" t="s" s="22">
        <v>10</v>
      </c>
      <c r="C204" t="n" s="28">
        <f>F204*-1</f>
        <v>-94.6</v>
      </c>
      <c r="D204" t="n" s="18">
        <v>45954.0</v>
      </c>
      <c r="E204" t="s" s="22">
        <v>10</v>
      </c>
      <c r="F204" t="n" s="31">
        <v>94.6</v>
      </c>
    </row>
    <row r="205">
      <c r="A205" t="s" s="22">
        <v>10</v>
      </c>
      <c r="C205" t="n" s="28">
        <f>F205*-1</f>
        <v>-1268.99</v>
      </c>
      <c r="D205" t="n" s="18">
        <v>45954.0</v>
      </c>
      <c r="E205" t="s" s="22">
        <v>10</v>
      </c>
      <c r="F205" t="n" s="31">
        <v>1268.99</v>
      </c>
    </row>
    <row r="206">
      <c r="A206" t="s" s="22">
        <v>10</v>
      </c>
      <c r="C206" t="n" s="28">
        <f>F206*-1</f>
        <v>-85.1</v>
      </c>
      <c r="D206" t="n" s="18">
        <v>45953.0</v>
      </c>
      <c r="E206" t="s" s="22">
        <v>10</v>
      </c>
      <c r="F206" t="n" s="31">
        <v>85.1</v>
      </c>
    </row>
    <row r="207">
      <c r="A207" t="s" s="22">
        <v>10</v>
      </c>
      <c r="C207" t="n" s="28">
        <f>F207*-1</f>
        <v>-1397.67</v>
      </c>
      <c r="D207" t="n" s="18">
        <v>45953.0</v>
      </c>
      <c r="E207" t="s" s="22">
        <v>10</v>
      </c>
      <c r="F207" t="n" s="31">
        <v>1397.67</v>
      </c>
    </row>
    <row r="208">
      <c r="A208" t="s" s="22">
        <v>10</v>
      </c>
      <c r="C208" t="n" s="28">
        <f>F208*-1</f>
        <v>-127.81</v>
      </c>
      <c r="D208" t="n" s="18">
        <v>45952.0</v>
      </c>
      <c r="E208" t="s" s="22">
        <v>10</v>
      </c>
      <c r="F208" t="n" s="31">
        <v>127.81</v>
      </c>
    </row>
    <row r="209">
      <c r="A209" t="s" s="22">
        <v>10</v>
      </c>
      <c r="C209" t="n" s="28">
        <f>F209*-1</f>
        <v>-4869.15</v>
      </c>
      <c r="D209" t="n" s="18">
        <v>45952.0</v>
      </c>
      <c r="E209" t="s" s="22">
        <v>10</v>
      </c>
      <c r="F209" t="n" s="31">
        <v>4869.15</v>
      </c>
    </row>
    <row r="210">
      <c r="A210" t="s" s="22">
        <v>10</v>
      </c>
      <c r="C210" t="n" s="28">
        <f>F210*-1</f>
        <v>-864.51</v>
      </c>
      <c r="D210" t="n" s="18">
        <v>45951.0</v>
      </c>
      <c r="E210" t="s" s="22">
        <v>10</v>
      </c>
      <c r="F210" t="n" s="31">
        <v>864.51</v>
      </c>
    </row>
    <row r="211">
      <c r="A211" t="s" s="22">
        <v>10</v>
      </c>
      <c r="C211" t="n" s="28">
        <f>F211*-1</f>
        <v>-101.06</v>
      </c>
      <c r="D211" t="n" s="18">
        <v>45950.0</v>
      </c>
      <c r="E211" t="s" s="22">
        <v>10</v>
      </c>
      <c r="F211" t="n" s="31">
        <v>101.06</v>
      </c>
    </row>
    <row r="212">
      <c r="A212" t="s" s="22">
        <v>10</v>
      </c>
      <c r="C212" t="n" s="28">
        <f>F212*-1</f>
        <v>-139.08</v>
      </c>
      <c r="D212" t="n" s="18">
        <v>45949.0</v>
      </c>
      <c r="E212" t="s" s="22">
        <v>10</v>
      </c>
      <c r="F212" t="n" s="31">
        <v>139.08</v>
      </c>
    </row>
    <row r="213">
      <c r="A213" t="s" s="22">
        <v>10</v>
      </c>
      <c r="C213" t="n" s="28">
        <f>F213*-1</f>
        <v>-54.74</v>
      </c>
      <c r="D213" t="n" s="18">
        <v>45949.0</v>
      </c>
      <c r="E213" t="s" s="22">
        <v>10</v>
      </c>
      <c r="F213" t="n" s="31">
        <v>54.74</v>
      </c>
    </row>
    <row r="214">
      <c r="A214" t="s" s="22">
        <v>10</v>
      </c>
      <c r="C214" t="n" s="28">
        <f>F214*-1</f>
        <v>-55.72</v>
      </c>
      <c r="D214" t="n" s="18">
        <v>45948.0</v>
      </c>
      <c r="E214" t="s" s="22">
        <v>10</v>
      </c>
      <c r="F214" t="n" s="31">
        <v>55.72</v>
      </c>
    </row>
    <row r="215">
      <c r="A215" t="s" s="22">
        <v>10</v>
      </c>
      <c r="C215" t="n" s="28">
        <f>F215*-1</f>
        <v>-90.87</v>
      </c>
      <c r="D215" t="n" s="18">
        <v>45948.0</v>
      </c>
      <c r="E215" t="s" s="22">
        <v>10</v>
      </c>
      <c r="F215" t="n" s="31">
        <v>90.87</v>
      </c>
    </row>
    <row r="216">
      <c r="A216" t="s" s="22">
        <v>10</v>
      </c>
      <c r="C216" t="n" s="28">
        <f>F216*-1</f>
        <v>-1396.09</v>
      </c>
      <c r="D216" t="n" s="18">
        <v>45948.0</v>
      </c>
      <c r="E216" t="s" s="22">
        <v>10</v>
      </c>
      <c r="F216" t="n" s="31">
        <v>1396.09</v>
      </c>
    </row>
    <row r="217">
      <c r="A217" t="s" s="22">
        <v>10</v>
      </c>
      <c r="C217" t="n" s="28">
        <f>F217*-1</f>
        <v>-51.45</v>
      </c>
      <c r="D217" t="n" s="18">
        <v>45947.0</v>
      </c>
      <c r="E217" t="s" s="22">
        <v>10</v>
      </c>
      <c r="F217" t="n" s="31">
        <v>51.45</v>
      </c>
    </row>
    <row r="218">
      <c r="A218" t="s" s="22">
        <v>10</v>
      </c>
      <c r="C218" t="n" s="28">
        <f>F218*-1</f>
        <v>-1052.53</v>
      </c>
      <c r="D218" t="n" s="18">
        <v>45947.0</v>
      </c>
      <c r="E218" t="s" s="22">
        <v>10</v>
      </c>
      <c r="F218" t="n" s="31">
        <v>1052.53</v>
      </c>
    </row>
    <row r="219">
      <c r="A219" t="s" s="22">
        <v>10</v>
      </c>
      <c r="C219" t="n" s="28">
        <f>F219*-1</f>
        <v>-222.22</v>
      </c>
      <c r="D219" t="n" s="18">
        <v>45946.0</v>
      </c>
      <c r="E219" t="s" s="22">
        <v>10</v>
      </c>
      <c r="F219" t="n" s="31">
        <v>222.22</v>
      </c>
    </row>
    <row r="220">
      <c r="A220" t="s" s="22">
        <v>10</v>
      </c>
      <c r="C220" t="n" s="28">
        <f>F220*-1</f>
        <v>-6594.63</v>
      </c>
      <c r="D220" t="n" s="18">
        <v>45946.0</v>
      </c>
      <c r="E220" t="s" s="22">
        <v>10</v>
      </c>
      <c r="F220" t="n" s="31">
        <v>6594.63</v>
      </c>
    </row>
    <row r="221">
      <c r="A221" t="s" s="22">
        <v>10</v>
      </c>
      <c r="C221" t="n" s="28">
        <f>F221*-1</f>
        <v>1.54</v>
      </c>
      <c r="D221" t="n" s="18">
        <v>45945.0</v>
      </c>
      <c r="E221" t="s" s="22">
        <v>10</v>
      </c>
      <c r="F221" t="n" s="31">
        <v>-1.54</v>
      </c>
    </row>
    <row r="222">
      <c r="A222" t="s" s="22">
        <v>10</v>
      </c>
      <c r="C222" t="n" s="28">
        <f>F222*-1</f>
        <v>-144.83</v>
      </c>
      <c r="D222" t="n" s="18">
        <v>45945.0</v>
      </c>
      <c r="E222" t="s" s="22">
        <v>10</v>
      </c>
      <c r="F222" t="n" s="31">
        <v>144.83</v>
      </c>
    </row>
    <row r="223">
      <c r="A223" t="s" s="22">
        <v>10</v>
      </c>
      <c r="C223" t="n" s="28">
        <f>F223*-1</f>
        <v>-1892.15</v>
      </c>
      <c r="D223" t="n" s="18">
        <v>45945.0</v>
      </c>
      <c r="E223" t="s" s="22">
        <v>10</v>
      </c>
      <c r="F223" t="n" s="31">
        <v>1892.15</v>
      </c>
    </row>
    <row r="224">
      <c r="A224" t="s" s="22">
        <v>10</v>
      </c>
      <c r="C224" t="n" s="28">
        <f>F224*-1</f>
        <v>-272.79</v>
      </c>
      <c r="D224" t="n" s="18">
        <v>45944.0</v>
      </c>
      <c r="E224" t="s" s="22">
        <v>10</v>
      </c>
      <c r="F224" t="n" s="31">
        <v>272.79</v>
      </c>
    </row>
    <row r="225">
      <c r="A225" t="s" s="22">
        <v>10</v>
      </c>
      <c r="C225" t="n" s="28">
        <f>F225*-1</f>
        <v>-49.06</v>
      </c>
      <c r="D225" t="n" s="18">
        <v>45944.0</v>
      </c>
      <c r="E225" t="s" s="22">
        <v>10</v>
      </c>
      <c r="F225" t="n" s="31">
        <v>49.06</v>
      </c>
    </row>
    <row r="226">
      <c r="A226" t="s" s="22">
        <v>10</v>
      </c>
      <c r="C226" t="n" s="28">
        <f>F226*-1</f>
        <v>-37.04</v>
      </c>
      <c r="D226" t="n" s="18">
        <v>45943.0</v>
      </c>
      <c r="E226" t="s" s="22">
        <v>10</v>
      </c>
      <c r="F226" t="n" s="31">
        <v>37.04</v>
      </c>
    </row>
    <row r="227">
      <c r="A227" t="s" s="22">
        <v>10</v>
      </c>
      <c r="C227" t="n" s="28">
        <f>F227*-1</f>
        <v>-136.29</v>
      </c>
      <c r="D227" t="n" s="18">
        <v>45943.0</v>
      </c>
      <c r="E227" t="s" s="22">
        <v>10</v>
      </c>
      <c r="F227" t="n" s="31">
        <v>136.29</v>
      </c>
    </row>
    <row r="228">
      <c r="A228" t="s" s="22">
        <v>10</v>
      </c>
      <c r="C228" t="n" s="28">
        <f>F228*-1</f>
        <v>-219.15</v>
      </c>
      <c r="D228" t="n" s="18">
        <v>45942.0</v>
      </c>
      <c r="E228" t="s" s="22">
        <v>10</v>
      </c>
      <c r="F228" t="n" s="31">
        <v>219.15</v>
      </c>
    </row>
    <row r="229">
      <c r="A229" t="s" s="22">
        <v>10</v>
      </c>
      <c r="C229" t="n" s="28">
        <f>F229*-1</f>
        <v>-73.44</v>
      </c>
      <c r="D229" t="n" s="18">
        <v>45941.0</v>
      </c>
      <c r="E229" t="s" s="22">
        <v>10</v>
      </c>
      <c r="F229" t="n" s="31">
        <v>73.44</v>
      </c>
    </row>
    <row r="230">
      <c r="A230" t="s" s="22">
        <v>10</v>
      </c>
      <c r="C230" t="n" s="28">
        <f>F230*-1</f>
        <v>-308.06</v>
      </c>
      <c r="D230" t="n" s="18">
        <v>45941.0</v>
      </c>
      <c r="E230" t="s" s="22">
        <v>10</v>
      </c>
      <c r="F230" t="n" s="31">
        <v>308.06</v>
      </c>
    </row>
    <row r="231">
      <c r="A231" t="s" s="22">
        <v>10</v>
      </c>
      <c r="C231" t="n" s="28">
        <f>F231*-1</f>
        <v>-155.69</v>
      </c>
      <c r="D231" t="n" s="18">
        <v>45940.0</v>
      </c>
      <c r="E231" t="s" s="22">
        <v>10</v>
      </c>
      <c r="F231" t="n" s="31">
        <v>155.69</v>
      </c>
    </row>
    <row r="232">
      <c r="A232" t="s" s="22">
        <v>10</v>
      </c>
      <c r="C232" t="n" s="28">
        <f>F232*-1</f>
        <v>-486.37</v>
      </c>
      <c r="D232" t="n" s="18">
        <v>45940.0</v>
      </c>
      <c r="E232" t="s" s="22">
        <v>10</v>
      </c>
      <c r="F232" t="n" s="31">
        <v>486.37</v>
      </c>
    </row>
    <row r="233">
      <c r="A233" t="s" s="22">
        <v>10</v>
      </c>
      <c r="C233" t="n" s="28">
        <f>F233*-1</f>
        <v>-102.9</v>
      </c>
      <c r="D233" t="n" s="18">
        <v>45939.0</v>
      </c>
      <c r="E233" t="s" s="22">
        <v>10</v>
      </c>
      <c r="F233" t="n" s="31">
        <v>102.9</v>
      </c>
    </row>
    <row r="234">
      <c r="A234" t="s" s="22">
        <v>10</v>
      </c>
      <c r="C234" t="n" s="28">
        <f>F234*-1</f>
        <v>-1879.86</v>
      </c>
      <c r="D234" t="n" s="18">
        <v>45939.0</v>
      </c>
      <c r="E234" t="s" s="22">
        <v>10</v>
      </c>
      <c r="F234" t="n" s="31">
        <v>1879.86</v>
      </c>
    </row>
    <row r="235">
      <c r="A235" t="s" s="22">
        <v>10</v>
      </c>
      <c r="C235" t="n" s="28">
        <f>F235*-1</f>
        <v>-115.58</v>
      </c>
      <c r="D235" t="n" s="18">
        <v>45938.0</v>
      </c>
      <c r="E235" t="s" s="22">
        <v>10</v>
      </c>
      <c r="F235" t="n" s="31">
        <v>115.58</v>
      </c>
    </row>
    <row r="236">
      <c r="A236" t="s" s="22">
        <v>10</v>
      </c>
      <c r="C236" t="n" s="28">
        <f>F236*-1</f>
        <v>-85.1</v>
      </c>
      <c r="D236" t="n" s="18">
        <v>45938.0</v>
      </c>
      <c r="E236" t="s" s="22">
        <v>10</v>
      </c>
      <c r="F236" t="n" s="31">
        <v>85.1</v>
      </c>
    </row>
    <row r="237">
      <c r="A237" t="s" s="22">
        <v>10</v>
      </c>
      <c r="C237" t="n" s="28">
        <f>F237*-1</f>
        <v>-180.1</v>
      </c>
      <c r="D237" t="n" s="18">
        <v>45938.0</v>
      </c>
      <c r="E237" t="s" s="22">
        <v>10</v>
      </c>
      <c r="F237" t="n" s="31">
        <v>180.1</v>
      </c>
    </row>
    <row r="238">
      <c r="A238" t="s" s="22">
        <v>10</v>
      </c>
      <c r="C238" t="n" s="28">
        <f>F238*-1</f>
        <v>-3163.75</v>
      </c>
      <c r="D238" t="n" s="18">
        <v>45938.0</v>
      </c>
      <c r="E238" t="s" s="22">
        <v>10</v>
      </c>
      <c r="F238" t="n" s="31">
        <v>3163.75</v>
      </c>
    </row>
    <row r="239">
      <c r="A239" t="s" s="22">
        <v>10</v>
      </c>
      <c r="C239" t="n" s="28">
        <f>F239*-1</f>
        <v>-249.68</v>
      </c>
      <c r="D239" t="n" s="18">
        <v>45937.0</v>
      </c>
      <c r="E239" t="s" s="22">
        <v>10</v>
      </c>
      <c r="F239" t="n" s="31">
        <v>249.68</v>
      </c>
    </row>
    <row r="240">
      <c r="A240" t="s" s="22">
        <v>10</v>
      </c>
      <c r="C240" t="n" s="28">
        <f>F240*-1</f>
        <v>-54.14</v>
      </c>
      <c r="D240" t="n" s="18">
        <v>45937.0</v>
      </c>
      <c r="E240" t="s" s="22">
        <v>10</v>
      </c>
      <c r="F240" t="n" s="31">
        <v>54.14</v>
      </c>
    </row>
    <row r="241">
      <c r="A241" t="s" s="22">
        <v>10</v>
      </c>
      <c r="C241" t="n" s="28">
        <f>F241*-1</f>
        <v>-1496.82</v>
      </c>
      <c r="D241" t="n" s="18">
        <v>45937.0</v>
      </c>
      <c r="E241" t="s" s="22">
        <v>10</v>
      </c>
      <c r="F241" t="n" s="31">
        <v>1496.82</v>
      </c>
    </row>
    <row r="242">
      <c r="A242" t="s" s="22">
        <v>10</v>
      </c>
      <c r="C242" t="n" s="28">
        <f>F242*-1</f>
        <v>-87.58</v>
      </c>
      <c r="D242" t="n" s="18">
        <v>45936.0</v>
      </c>
      <c r="E242" t="s" s="22">
        <v>10</v>
      </c>
      <c r="F242" t="n" s="31">
        <v>87.58</v>
      </c>
    </row>
    <row r="243">
      <c r="A243" t="s" s="22">
        <v>10</v>
      </c>
      <c r="C243" t="n" s="28">
        <f>F243*-1</f>
        <v>-78.49</v>
      </c>
      <c r="D243" t="n" s="18">
        <v>45936.0</v>
      </c>
      <c r="E243" t="s" s="22">
        <v>10</v>
      </c>
      <c r="F243" t="n" s="31">
        <v>78.49</v>
      </c>
    </row>
    <row r="244">
      <c r="A244" t="s" s="22">
        <v>10</v>
      </c>
      <c r="C244" t="n" s="28">
        <f>F244*-1</f>
        <v>-81.64</v>
      </c>
      <c r="D244" t="n" s="18">
        <v>45935.0</v>
      </c>
      <c r="E244" t="s" s="22">
        <v>10</v>
      </c>
      <c r="F244" t="n" s="31">
        <v>81.64</v>
      </c>
    </row>
    <row r="245">
      <c r="A245" t="s" s="22">
        <v>10</v>
      </c>
      <c r="C245" t="n" s="28">
        <f>F245*-1</f>
        <v>-139.03</v>
      </c>
      <c r="D245" t="n" s="18">
        <v>45934.0</v>
      </c>
      <c r="E245" t="s" s="22">
        <v>10</v>
      </c>
      <c r="F245" t="n" s="31">
        <v>139.03</v>
      </c>
    </row>
    <row r="246">
      <c r="A246" t="s" s="22">
        <v>10</v>
      </c>
      <c r="C246" t="n" s="28">
        <f>F246*-1</f>
        <v>-876.93</v>
      </c>
      <c r="D246" t="n" s="18">
        <v>45934.0</v>
      </c>
      <c r="E246" t="s" s="22">
        <v>10</v>
      </c>
      <c r="F246" t="n" s="31">
        <v>876.93</v>
      </c>
    </row>
    <row r="247">
      <c r="A247" t="s" s="22">
        <v>10</v>
      </c>
      <c r="C247" t="n" s="28">
        <f>F247*-1</f>
        <v>-87.58</v>
      </c>
      <c r="D247" t="n" s="18">
        <v>45933.0</v>
      </c>
      <c r="E247" t="s" s="22">
        <v>10</v>
      </c>
      <c r="F247" t="n" s="31">
        <v>87.58</v>
      </c>
    </row>
    <row r="248">
      <c r="A248" t="s" s="22">
        <v>10</v>
      </c>
      <c r="C248" t="n" s="28">
        <f>F248*-1</f>
        <v>-195.76</v>
      </c>
      <c r="D248" t="n" s="18">
        <v>45933.0</v>
      </c>
      <c r="E248" t="s" s="22">
        <v>10</v>
      </c>
      <c r="F248" t="n" s="31">
        <v>195.76</v>
      </c>
    </row>
    <row r="249">
      <c r="A249" t="s" s="22">
        <v>10</v>
      </c>
      <c r="C249" t="n" s="28">
        <f>F249*-1</f>
        <v>-477.29</v>
      </c>
      <c r="D249" t="n" s="18">
        <v>45933.0</v>
      </c>
      <c r="E249" t="s" s="22">
        <v>10</v>
      </c>
      <c r="F249" t="n" s="31">
        <v>477.29</v>
      </c>
    </row>
    <row r="250">
      <c r="A250" t="s" s="22">
        <v>10</v>
      </c>
      <c r="C250" t="n" s="28">
        <f>F250*-1</f>
        <v>-54.88</v>
      </c>
      <c r="D250" t="n" s="18">
        <v>45932.0</v>
      </c>
      <c r="E250" t="s" s="22">
        <v>10</v>
      </c>
      <c r="F250" t="n" s="31">
        <v>54.88</v>
      </c>
    </row>
    <row r="251">
      <c r="A251" t="s" s="22">
        <v>10</v>
      </c>
      <c r="C251" t="n" s="28">
        <f>F251*-1</f>
        <v>-49.99</v>
      </c>
      <c r="D251" t="n" s="18">
        <v>45932.0</v>
      </c>
      <c r="E251" t="s" s="22">
        <v>10</v>
      </c>
      <c r="F251" t="n" s="31">
        <v>49.99</v>
      </c>
    </row>
    <row r="252">
      <c r="A252" t="s" s="22">
        <v>10</v>
      </c>
      <c r="C252" t="n" s="28">
        <f>F252*-1</f>
        <v>-514.48</v>
      </c>
      <c r="D252" t="n" s="18">
        <v>45932.0</v>
      </c>
      <c r="E252" t="s" s="22">
        <v>10</v>
      </c>
      <c r="F252" t="n" s="31">
        <v>514.48</v>
      </c>
    </row>
    <row r="253">
      <c r="A253" t="s" s="22">
        <v>10</v>
      </c>
      <c r="C253" t="n" s="28">
        <f>F253*-1</f>
        <v>-53.78</v>
      </c>
      <c r="D253" t="n" s="18">
        <v>45931.0</v>
      </c>
      <c r="E253" t="s" s="22">
        <v>10</v>
      </c>
      <c r="F253" t="n" s="31">
        <v>53.78</v>
      </c>
    </row>
    <row r="254">
      <c r="A254" t="s" s="22">
        <v>10</v>
      </c>
      <c r="C254" t="n" s="28">
        <f>F254*-1</f>
        <v>-2428.47</v>
      </c>
      <c r="D254" t="n" s="18">
        <v>45931.0</v>
      </c>
      <c r="E254" t="s" s="22">
        <v>10</v>
      </c>
      <c r="F254" t="n" s="31">
        <v>2428.47</v>
      </c>
    </row>
    <row r="255">
      <c r="A255" t="s" s="22">
        <v>10</v>
      </c>
      <c r="C255" t="n" s="28">
        <f>F255*-1</f>
        <v>-47.05</v>
      </c>
      <c r="D255" t="n" s="18">
        <v>45930.0</v>
      </c>
      <c r="E255" t="s" s="22">
        <v>10</v>
      </c>
      <c r="F255" t="n" s="31">
        <v>47.05</v>
      </c>
    </row>
    <row r="256">
      <c r="A256" t="s" s="22">
        <v>10</v>
      </c>
      <c r="C256" t="n" s="28">
        <f>F256*-1</f>
        <v>-188.06</v>
      </c>
      <c r="D256" t="n" s="18">
        <v>45930.0</v>
      </c>
      <c r="E256" t="s" s="22">
        <v>10</v>
      </c>
      <c r="F256" t="n" s="31">
        <v>188.06</v>
      </c>
    </row>
    <row r="257">
      <c r="A257" t="s" s="22">
        <v>10</v>
      </c>
      <c r="C257" t="n" s="28">
        <f>F257*-1</f>
        <v>-1613.95</v>
      </c>
      <c r="D257" t="n" s="18">
        <v>45930.0</v>
      </c>
      <c r="E257" t="s" s="22">
        <v>10</v>
      </c>
      <c r="F257" t="n" s="31">
        <v>1613.95</v>
      </c>
    </row>
    <row r="258">
      <c r="A258" t="s" s="22">
        <v>10</v>
      </c>
      <c r="C258" t="n" s="28">
        <f>F258*-1</f>
        <v>-106.91</v>
      </c>
      <c r="D258" t="n" s="18">
        <v>45929.0</v>
      </c>
      <c r="E258" t="s" s="22">
        <v>10</v>
      </c>
      <c r="F258" t="n" s="31">
        <v>106.91</v>
      </c>
    </row>
    <row r="259">
      <c r="A259" t="s" s="22">
        <v>10</v>
      </c>
      <c r="C259" t="n" s="28">
        <f>F259*-1</f>
        <v>-104.0</v>
      </c>
      <c r="D259" t="n" s="18">
        <v>45928.0</v>
      </c>
      <c r="E259" t="s" s="22">
        <v>10</v>
      </c>
      <c r="F259" t="n" s="31">
        <v>104.0</v>
      </c>
    </row>
    <row r="260">
      <c r="A260" t="s" s="22">
        <v>10</v>
      </c>
      <c r="C260" t="n" s="28">
        <f>F260*-1</f>
        <v>-138.38</v>
      </c>
      <c r="D260" t="n" s="18">
        <v>45928.0</v>
      </c>
      <c r="E260" t="s" s="22">
        <v>10</v>
      </c>
      <c r="F260" t="n" s="31">
        <v>138.38</v>
      </c>
    </row>
    <row r="261">
      <c r="A261" t="s" s="22">
        <v>10</v>
      </c>
      <c r="C261" t="n" s="28">
        <f>F261*-1</f>
        <v>-47.06</v>
      </c>
      <c r="D261" t="n" s="18">
        <v>45927.0</v>
      </c>
      <c r="E261" t="s" s="22">
        <v>10</v>
      </c>
      <c r="F261" t="n" s="31">
        <v>47.06</v>
      </c>
    </row>
    <row r="262">
      <c r="A262" t="s" s="22">
        <v>10</v>
      </c>
      <c r="C262" t="n" s="28">
        <f>F262*-1</f>
        <v>-654.01</v>
      </c>
      <c r="D262" t="n" s="18">
        <v>45927.0</v>
      </c>
      <c r="E262" t="s" s="22">
        <v>10</v>
      </c>
      <c r="F262" t="n" s="31">
        <v>654.01</v>
      </c>
    </row>
    <row r="263">
      <c r="A263" t="s" s="22">
        <v>10</v>
      </c>
      <c r="C263" t="n" s="28">
        <f>F263*-1</f>
        <v>-211.86</v>
      </c>
      <c r="D263" t="n" s="18">
        <v>45926.0</v>
      </c>
      <c r="E263" t="s" s="22">
        <v>10</v>
      </c>
      <c r="F263" t="n" s="31">
        <v>211.86</v>
      </c>
    </row>
    <row r="264">
      <c r="A264" t="s" s="22">
        <v>10</v>
      </c>
      <c r="C264" t="n" s="28">
        <f>F264*-1</f>
        <v>-203.43</v>
      </c>
      <c r="D264" t="n" s="18">
        <v>45926.0</v>
      </c>
      <c r="E264" t="s" s="22">
        <v>10</v>
      </c>
      <c r="F264" t="n" s="31">
        <v>203.43</v>
      </c>
    </row>
    <row r="265">
      <c r="A265" t="s" s="22">
        <v>10</v>
      </c>
      <c r="C265" t="n" s="28">
        <f>F265*-1</f>
        <v>-947.57</v>
      </c>
      <c r="D265" t="n" s="18">
        <v>45925.0</v>
      </c>
      <c r="E265" t="s" s="22">
        <v>10</v>
      </c>
      <c r="F265" t="n" s="31">
        <v>947.57</v>
      </c>
    </row>
    <row r="266">
      <c r="A266" t="s" s="22">
        <v>10</v>
      </c>
      <c r="C266" t="n" s="28">
        <f>F266*-1</f>
        <v>-45.96</v>
      </c>
      <c r="D266" t="n" s="18">
        <v>45925.0</v>
      </c>
      <c r="E266" t="s" s="22">
        <v>10</v>
      </c>
      <c r="F266" t="n" s="31">
        <v>45.96</v>
      </c>
    </row>
    <row r="267">
      <c r="A267" t="s" s="22">
        <v>10</v>
      </c>
      <c r="C267" t="n" s="28">
        <f>F267*-1</f>
        <v>-242.61</v>
      </c>
      <c r="D267" t="n" s="18">
        <v>45924.0</v>
      </c>
      <c r="E267" t="s" s="22">
        <v>10</v>
      </c>
      <c r="F267" t="n" s="31">
        <v>242.61</v>
      </c>
    </row>
    <row r="268">
      <c r="A268" t="s" s="22">
        <v>10</v>
      </c>
      <c r="C268" t="n" s="28">
        <f>F268*-1</f>
        <v>-4631.95</v>
      </c>
      <c r="D268" t="n" s="18">
        <v>45924.0</v>
      </c>
      <c r="E268" t="s" s="22">
        <v>10</v>
      </c>
      <c r="F268" t="n" s="31">
        <v>4631.95</v>
      </c>
    </row>
    <row r="269">
      <c r="A269" t="s" s="22">
        <v>10</v>
      </c>
      <c r="C269" t="n" s="28">
        <f>F269*-1</f>
        <v>-101.81</v>
      </c>
      <c r="D269" t="n" s="18">
        <v>45923.0</v>
      </c>
      <c r="E269" t="s" s="22">
        <v>10</v>
      </c>
      <c r="F269" t="n" s="31">
        <v>101.81</v>
      </c>
    </row>
    <row r="270">
      <c r="A270" t="s" s="22">
        <v>10</v>
      </c>
      <c r="C270" t="n" s="28">
        <f>F270*-1</f>
        <v>-85.1</v>
      </c>
      <c r="D270" t="n" s="18">
        <v>45923.0</v>
      </c>
      <c r="E270" t="s" s="22">
        <v>10</v>
      </c>
      <c r="F270" t="n" s="31">
        <v>85.1</v>
      </c>
    </row>
    <row r="271">
      <c r="A271" t="s" s="22">
        <v>10</v>
      </c>
      <c r="C271" t="n" s="28">
        <f>F271*-1</f>
        <v>-1014.22</v>
      </c>
      <c r="D271" t="n" s="18">
        <v>45923.0</v>
      </c>
      <c r="E271" t="s" s="22">
        <v>10</v>
      </c>
      <c r="F271" t="n" s="31">
        <v>1014.22</v>
      </c>
    </row>
    <row r="272">
      <c r="A272" t="s" s="22">
        <v>10</v>
      </c>
      <c r="C272" t="n" s="28">
        <f>F272*-1</f>
        <v>-51.45</v>
      </c>
      <c r="D272" t="n" s="18">
        <v>45922.0</v>
      </c>
      <c r="E272" t="s" s="22">
        <v>10</v>
      </c>
      <c r="F272" t="n" s="31">
        <v>51.45</v>
      </c>
    </row>
    <row r="273">
      <c r="A273" t="s" s="22">
        <v>10</v>
      </c>
      <c r="C273" t="n" s="28">
        <f>F273*-1</f>
        <v>-87.58</v>
      </c>
      <c r="D273" t="n" s="18">
        <v>45921.0</v>
      </c>
      <c r="E273" t="s" s="22">
        <v>10</v>
      </c>
      <c r="F273" t="n" s="31">
        <v>87.58</v>
      </c>
    </row>
    <row r="274">
      <c r="A274" t="s" s="22">
        <v>10</v>
      </c>
      <c r="C274" t="n" s="28">
        <f>F274*-1</f>
        <v>-49.99</v>
      </c>
      <c r="D274" t="n" s="18">
        <v>45921.0</v>
      </c>
      <c r="E274" t="s" s="22">
        <v>10</v>
      </c>
      <c r="F274" t="n" s="31">
        <v>49.99</v>
      </c>
    </row>
    <row r="275">
      <c r="A275" t="s" s="22">
        <v>10</v>
      </c>
      <c r="C275" t="n" s="28">
        <f>F275*-1</f>
        <v>-264.77</v>
      </c>
      <c r="D275" t="n" s="18">
        <v>45920.0</v>
      </c>
      <c r="E275" t="s" s="22">
        <v>10</v>
      </c>
      <c r="F275" t="n" s="31">
        <v>264.77</v>
      </c>
    </row>
    <row r="276">
      <c r="A276" t="s" s="22">
        <v>10</v>
      </c>
      <c r="C276" t="n" s="28">
        <f>F276*-1</f>
        <v>-544.23</v>
      </c>
      <c r="D276" t="n" s="18">
        <v>45920.0</v>
      </c>
      <c r="E276" t="s" s="22">
        <v>10</v>
      </c>
      <c r="F276" t="n" s="31">
        <v>544.23</v>
      </c>
    </row>
    <row r="277">
      <c r="A277" t="s" s="22">
        <v>10</v>
      </c>
      <c r="C277" t="n" s="28">
        <f>F277*-1</f>
        <v>-1027.19</v>
      </c>
      <c r="D277" t="n" s="18">
        <v>45919.0</v>
      </c>
      <c r="E277" t="s" s="22">
        <v>10</v>
      </c>
      <c r="F277" t="n" s="31">
        <v>1027.19</v>
      </c>
    </row>
    <row r="278">
      <c r="A278" t="s" s="22">
        <v>10</v>
      </c>
      <c r="C278" t="n" s="28">
        <f>F278*-1</f>
        <v>-90.77</v>
      </c>
      <c r="D278" t="n" s="18">
        <v>45918.0</v>
      </c>
      <c r="E278" t="s" s="22">
        <v>10</v>
      </c>
      <c r="F278" t="n" s="31">
        <v>90.77</v>
      </c>
    </row>
    <row r="279">
      <c r="A279" t="s" s="22">
        <v>10</v>
      </c>
      <c r="C279" t="n" s="28">
        <f>F279*-1</f>
        <v>-1239.06</v>
      </c>
      <c r="D279" t="n" s="18">
        <v>45918.0</v>
      </c>
      <c r="E279" t="s" s="22">
        <v>10</v>
      </c>
      <c r="F279" t="n" s="31">
        <v>1239.06</v>
      </c>
    </row>
    <row r="280">
      <c r="A280" t="s" s="22">
        <v>10</v>
      </c>
      <c r="C280" t="n" s="28">
        <f>F280*-1</f>
        <v>-2395.96</v>
      </c>
      <c r="D280" t="n" s="18">
        <v>45917.0</v>
      </c>
      <c r="E280" t="s" s="22">
        <v>10</v>
      </c>
      <c r="F280" t="n" s="31">
        <v>2395.96</v>
      </c>
    </row>
    <row r="281">
      <c r="A281" t="s" s="22">
        <v>10</v>
      </c>
      <c r="C281" t="n" s="28">
        <f>F281*-1</f>
        <v>-54.14</v>
      </c>
      <c r="D281" t="n" s="18">
        <v>45916.0</v>
      </c>
      <c r="E281" t="s" s="22">
        <v>10</v>
      </c>
      <c r="F281" t="n" s="31">
        <v>54.14</v>
      </c>
    </row>
    <row r="282">
      <c r="A282" t="s" s="22">
        <v>10</v>
      </c>
      <c r="C282" t="n" s="28">
        <f>F282*-1</f>
        <v>-1466.63</v>
      </c>
      <c r="D282" t="n" s="18">
        <v>45916.0</v>
      </c>
      <c r="E282" t="s" s="22">
        <v>10</v>
      </c>
      <c r="F282" t="n" s="31">
        <v>1466.63</v>
      </c>
    </row>
    <row r="283">
      <c r="A283" t="s" s="22">
        <v>10</v>
      </c>
      <c r="C283" t="n" s="28">
        <f>F283*-1</f>
        <v>-356.73</v>
      </c>
      <c r="D283" t="n" s="18">
        <v>45913.0</v>
      </c>
      <c r="E283" t="s" s="22">
        <v>10</v>
      </c>
      <c r="F283" t="n" s="31">
        <v>356.73</v>
      </c>
    </row>
    <row r="284">
      <c r="A284" t="s" s="22">
        <v>10</v>
      </c>
      <c r="C284" t="n" s="28">
        <f>F284*-1</f>
        <v>-85.1</v>
      </c>
      <c r="D284" t="n" s="18">
        <v>45912.0</v>
      </c>
      <c r="E284" t="s" s="22">
        <v>10</v>
      </c>
      <c r="F284" t="n" s="31">
        <v>85.1</v>
      </c>
    </row>
    <row r="285">
      <c r="A285" t="s" s="22">
        <v>10</v>
      </c>
      <c r="C285" t="n" s="28">
        <f>F285*-1</f>
        <v>-657.62</v>
      </c>
      <c r="D285" t="n" s="18">
        <v>45912.0</v>
      </c>
      <c r="E285" t="s" s="22">
        <v>10</v>
      </c>
      <c r="F285" t="n" s="31">
        <v>657.62</v>
      </c>
    </row>
    <row r="286">
      <c r="A286" t="s" s="22">
        <v>10</v>
      </c>
      <c r="C286" t="n" s="28">
        <f>F286*-1</f>
        <v>-513.01</v>
      </c>
      <c r="D286" t="n" s="18">
        <v>45911.0</v>
      </c>
      <c r="E286" t="s" s="22">
        <v>10</v>
      </c>
      <c r="F286" t="n" s="31">
        <v>513.01</v>
      </c>
    </row>
    <row r="287">
      <c r="A287" t="s" s="22">
        <v>10</v>
      </c>
      <c r="C287" t="n" s="28">
        <f>F287*-1</f>
        <v>-2520.96</v>
      </c>
      <c r="D287" t="n" s="18">
        <v>45910.0</v>
      </c>
      <c r="E287" t="s" s="22">
        <v>10</v>
      </c>
      <c r="F287" t="n" s="31">
        <v>2520.96</v>
      </c>
    </row>
    <row r="288">
      <c r="A288" t="s" s="22">
        <v>10</v>
      </c>
      <c r="C288" t="n" s="28">
        <f>F288*-1</f>
        <v>-150.7</v>
      </c>
      <c r="D288" t="n" s="18">
        <v>45909.0</v>
      </c>
      <c r="E288" t="s" s="22">
        <v>10</v>
      </c>
      <c r="F288" t="n" s="31">
        <v>150.7</v>
      </c>
    </row>
    <row r="289">
      <c r="A289" t="s" s="22">
        <v>10</v>
      </c>
      <c r="C289" t="n" s="28">
        <f>F289*-1</f>
        <v>-1971.35</v>
      </c>
      <c r="D289" t="n" s="18">
        <v>45909.0</v>
      </c>
      <c r="E289" t="s" s="22">
        <v>10</v>
      </c>
      <c r="F289" t="n" s="31">
        <v>1971.35</v>
      </c>
    </row>
    <row r="290">
      <c r="A290" t="s" s="22">
        <v>10</v>
      </c>
      <c r="C290" t="n" s="28">
        <f>F290*-1</f>
        <v>-1076.36</v>
      </c>
      <c r="D290" t="n" s="18">
        <v>45906.0</v>
      </c>
      <c r="E290" t="s" s="22">
        <v>10</v>
      </c>
      <c r="F290" t="n" s="31">
        <v>1076.36</v>
      </c>
    </row>
    <row r="291">
      <c r="A291" t="s" s="22">
        <v>10</v>
      </c>
      <c r="C291" t="n" s="28">
        <f>F291*-1</f>
        <v>-80.36</v>
      </c>
      <c r="D291" t="n" s="18">
        <v>45905.0</v>
      </c>
      <c r="E291" t="s" s="22">
        <v>10</v>
      </c>
      <c r="F291" t="n" s="31">
        <v>80.36</v>
      </c>
    </row>
    <row r="292">
      <c r="A292" t="s" s="22">
        <v>10</v>
      </c>
      <c r="C292" t="n" s="28">
        <f>F292*-1</f>
        <v>-2055.34</v>
      </c>
      <c r="D292" t="n" s="18">
        <v>45905.0</v>
      </c>
      <c r="E292" t="s" s="22">
        <v>10</v>
      </c>
      <c r="F292" t="n" s="31">
        <v>2055.34</v>
      </c>
    </row>
    <row r="293">
      <c r="A293" t="s" s="22">
        <v>10</v>
      </c>
      <c r="C293" t="n" s="28">
        <f>F293*-1</f>
        <v>-7396.09</v>
      </c>
      <c r="D293" t="n" s="18">
        <v>45904.0</v>
      </c>
      <c r="E293" t="s" s="22">
        <v>10</v>
      </c>
      <c r="F293" t="n" s="31">
        <v>7396.09</v>
      </c>
    </row>
    <row r="294">
      <c r="A294" t="s" s="22">
        <v>10</v>
      </c>
      <c r="C294" t="n" s="28">
        <f>F294*-1</f>
        <v>-216.95</v>
      </c>
      <c r="D294" t="n" s="18">
        <v>45903.0</v>
      </c>
      <c r="E294" t="s" s="22">
        <v>10</v>
      </c>
      <c r="F294" t="n" s="31">
        <v>216.95</v>
      </c>
    </row>
    <row r="295">
      <c r="A295" t="s" s="22">
        <v>10</v>
      </c>
      <c r="C295" t="n" s="28">
        <f>F295*-1</f>
        <v>-1395.46</v>
      </c>
      <c r="D295" t="n" s="18">
        <v>45903.0</v>
      </c>
      <c r="E295" t="s" s="22">
        <v>10</v>
      </c>
      <c r="F295" t="n" s="31">
        <v>1395.46</v>
      </c>
    </row>
    <row r="296">
      <c r="A296" t="s" s="22">
        <v>10</v>
      </c>
      <c r="C296" t="n" s="28">
        <f>F296*-1</f>
        <v>-157.87</v>
      </c>
      <c r="D296" t="n" s="18">
        <v>45902.0</v>
      </c>
      <c r="E296" t="s" s="22">
        <v>10</v>
      </c>
      <c r="F296" t="n" s="31">
        <v>157.87</v>
      </c>
    </row>
    <row r="297">
      <c r="A297" t="s" s="22">
        <v>10</v>
      </c>
      <c r="C297" t="n" s="28">
        <f>F297*-1</f>
        <v>-208.71</v>
      </c>
      <c r="D297" t="n" s="18">
        <v>45899.0</v>
      </c>
      <c r="E297" t="s" s="22">
        <v>10</v>
      </c>
      <c r="F297" t="n" s="31">
        <v>208.71</v>
      </c>
    </row>
    <row r="298">
      <c r="A298" t="s" s="22">
        <v>10</v>
      </c>
      <c r="C298" t="n" s="28">
        <f>F298*-1</f>
        <v>-1848.97</v>
      </c>
      <c r="D298" t="n" s="18">
        <v>45899.0</v>
      </c>
      <c r="E298" t="s" s="22">
        <v>10</v>
      </c>
      <c r="F298" t="n" s="31">
        <v>1848.97</v>
      </c>
    </row>
    <row r="299">
      <c r="A299" t="s" s="22">
        <v>10</v>
      </c>
      <c r="C299" t="n" s="28">
        <f>F299*-1</f>
        <v>-1348.46</v>
      </c>
      <c r="D299" t="n" s="18">
        <v>45898.0</v>
      </c>
      <c r="E299" t="s" s="22">
        <v>10</v>
      </c>
      <c r="F299" t="n" s="31">
        <v>1348.46</v>
      </c>
    </row>
    <row r="300">
      <c r="A300" t="s" s="22">
        <v>10</v>
      </c>
      <c r="C300" t="n" s="28">
        <f>F300*-1</f>
        <v>-102.19</v>
      </c>
      <c r="D300" t="n" s="18">
        <v>45897.0</v>
      </c>
      <c r="E300" t="s" s="22">
        <v>10</v>
      </c>
      <c r="F300" t="n" s="31">
        <v>102.19</v>
      </c>
    </row>
    <row r="301">
      <c r="A301" t="s" s="22">
        <v>10</v>
      </c>
      <c r="C301" t="n" s="28">
        <f>F301*-1</f>
        <v>-1293.08</v>
      </c>
      <c r="D301" t="n" s="18">
        <v>45897.0</v>
      </c>
      <c r="E301" t="s" s="22">
        <v>10</v>
      </c>
      <c r="F301" t="n" s="31">
        <v>1293.08</v>
      </c>
    </row>
    <row r="302">
      <c r="A302" t="s" s="22">
        <v>10</v>
      </c>
      <c r="C302" t="n" s="28">
        <f>F302*-1</f>
        <v>-4056.47</v>
      </c>
      <c r="D302" t="n" s="18">
        <v>45896.0</v>
      </c>
      <c r="E302" t="s" s="22">
        <v>10</v>
      </c>
      <c r="F302" t="n" s="31">
        <v>4056.47</v>
      </c>
    </row>
    <row r="303">
      <c r="A303" t="s" s="22">
        <v>10</v>
      </c>
      <c r="C303" t="n" s="28">
        <f>F303*-1</f>
        <v>-2077.7</v>
      </c>
      <c r="D303" t="n" s="18">
        <v>45895.0</v>
      </c>
      <c r="E303" t="s" s="22">
        <v>10</v>
      </c>
      <c r="F303" t="n" s="31">
        <v>2077.7</v>
      </c>
    </row>
    <row r="304">
      <c r="A304" t="s" s="22">
        <v>10</v>
      </c>
      <c r="C304" t="n" s="28">
        <f>F304*-1</f>
        <v>-181.72</v>
      </c>
      <c r="D304" t="n" s="18">
        <v>45894.0</v>
      </c>
      <c r="E304" t="s" s="22">
        <v>10</v>
      </c>
      <c r="F304" t="n" s="31">
        <v>181.72</v>
      </c>
    </row>
    <row r="305">
      <c r="A305" t="s" s="22">
        <v>10</v>
      </c>
      <c r="C305" t="n" s="28">
        <f>F305*-1</f>
        <v>-138.73</v>
      </c>
      <c r="D305" t="n" s="18">
        <v>45893.0</v>
      </c>
      <c r="E305" t="s" s="22">
        <v>10</v>
      </c>
      <c r="F305" t="n" s="31">
        <v>138.73</v>
      </c>
    </row>
    <row r="306">
      <c r="A306" t="s" s="22">
        <v>10</v>
      </c>
      <c r="C306" t="n" s="28">
        <f>F306*-1</f>
        <v>-1952.38</v>
      </c>
      <c r="D306" t="n" s="18">
        <v>45892.0</v>
      </c>
      <c r="E306" t="s" s="22">
        <v>10</v>
      </c>
      <c r="F306" t="n" s="31">
        <v>1952.38</v>
      </c>
    </row>
    <row r="307">
      <c r="A307" t="s" s="22">
        <v>10</v>
      </c>
      <c r="C307" t="n" s="28">
        <f>F307*-1</f>
        <v>-1451.92</v>
      </c>
      <c r="D307" t="n" s="18">
        <v>45891.0</v>
      </c>
      <c r="E307" t="s" s="22">
        <v>10</v>
      </c>
      <c r="F307" t="n" s="31">
        <v>1451.92</v>
      </c>
    </row>
    <row r="308">
      <c r="A308" t="s" s="22">
        <v>10</v>
      </c>
      <c r="C308" t="n" s="28">
        <f>F308*-1</f>
        <v>-1426.27</v>
      </c>
      <c r="D308" t="n" s="18">
        <v>45890.0</v>
      </c>
      <c r="E308" t="s" s="22">
        <v>10</v>
      </c>
      <c r="F308" t="n" s="31">
        <v>1426.27</v>
      </c>
    </row>
    <row r="309">
      <c r="A309" t="s" s="22">
        <v>10</v>
      </c>
      <c r="C309" t="n" s="28">
        <f>F309*-1</f>
        <v>-146.86</v>
      </c>
      <c r="D309" t="n" s="18">
        <v>45889.0</v>
      </c>
      <c r="E309" t="s" s="22">
        <v>10</v>
      </c>
      <c r="F309" t="n" s="31">
        <v>146.86</v>
      </c>
    </row>
    <row r="310">
      <c r="A310" t="s" s="22">
        <v>10</v>
      </c>
      <c r="C310" t="n" s="28">
        <f>F310*-1</f>
        <v>-4156.93</v>
      </c>
      <c r="D310" t="n" s="18">
        <v>45889.0</v>
      </c>
      <c r="E310" t="s" s="22">
        <v>10</v>
      </c>
      <c r="F310" t="n" s="31">
        <v>4156.93</v>
      </c>
    </row>
    <row r="311">
      <c r="A311" t="s" s="22">
        <v>10</v>
      </c>
      <c r="C311" t="n" s="28">
        <f>F311*-1</f>
        <v>-42.4</v>
      </c>
      <c r="D311" t="n" s="18">
        <v>45888.0</v>
      </c>
      <c r="E311" t="s" s="22">
        <v>10</v>
      </c>
      <c r="F311" t="n" s="31">
        <v>42.4</v>
      </c>
    </row>
    <row r="312">
      <c r="A312" t="s" s="22">
        <v>10</v>
      </c>
      <c r="C312" t="n" s="28">
        <f>F312*-1</f>
        <v>-500.9</v>
      </c>
      <c r="D312" t="n" s="18">
        <v>45888.0</v>
      </c>
      <c r="E312" t="s" s="22">
        <v>10</v>
      </c>
      <c r="F312" t="n" s="31">
        <v>500.9</v>
      </c>
    </row>
    <row r="313">
      <c r="A313" t="s" s="22">
        <v>10</v>
      </c>
      <c r="C313" t="n" s="28">
        <f>F313*-1</f>
        <v>-170.6</v>
      </c>
      <c r="D313" t="n" s="18">
        <v>45887.0</v>
      </c>
      <c r="E313" t="s" s="22">
        <v>10</v>
      </c>
      <c r="F313" t="n" s="31">
        <v>170.6</v>
      </c>
    </row>
    <row r="314">
      <c r="A314" t="s" s="22">
        <v>10</v>
      </c>
      <c r="C314" t="n" s="28">
        <f>F314*-1</f>
        <v>-98.87</v>
      </c>
      <c r="D314" t="n" s="18">
        <v>45887.0</v>
      </c>
      <c r="E314" t="s" s="22">
        <v>10</v>
      </c>
      <c r="F314" t="n" s="31">
        <v>98.87</v>
      </c>
    </row>
    <row r="315">
      <c r="A315" t="s" s="22">
        <v>10</v>
      </c>
      <c r="C315" t="n" s="28">
        <f>F315*-1</f>
        <v>-2567.63</v>
      </c>
      <c r="D315" t="n" s="18">
        <v>45885.0</v>
      </c>
      <c r="E315" t="s" s="22">
        <v>10</v>
      </c>
      <c r="F315" t="n" s="31">
        <v>2567.63</v>
      </c>
    </row>
    <row r="316">
      <c r="A316" t="s" s="22">
        <v>10</v>
      </c>
      <c r="C316" t="n" s="28">
        <f>F316*-1</f>
        <v>-3263.27</v>
      </c>
      <c r="D316" t="n" s="18">
        <v>45884.0</v>
      </c>
      <c r="E316" t="s" s="22">
        <v>10</v>
      </c>
      <c r="F316" t="n" s="31">
        <v>3263.27</v>
      </c>
    </row>
    <row r="317">
      <c r="A317" t="s" s="22">
        <v>10</v>
      </c>
      <c r="C317" t="n" s="28">
        <f>F317*-1</f>
        <v>-1905.32</v>
      </c>
      <c r="D317" t="n" s="18">
        <v>45883.0</v>
      </c>
      <c r="E317" t="s" s="22">
        <v>10</v>
      </c>
      <c r="F317" t="n" s="31">
        <v>1905.32</v>
      </c>
    </row>
    <row r="318">
      <c r="A318" t="s" s="22">
        <v>10</v>
      </c>
      <c r="C318" t="n" s="28">
        <f>F318*-1</f>
        <v>-3458.73</v>
      </c>
      <c r="D318" t="n" s="18">
        <v>45882.0</v>
      </c>
      <c r="E318" t="s" s="22">
        <v>10</v>
      </c>
      <c r="F318" t="n" s="31">
        <v>3458.73</v>
      </c>
    </row>
    <row r="319">
      <c r="A319" t="s" s="22">
        <v>10</v>
      </c>
      <c r="C319" t="n" s="28">
        <f>F319*-1</f>
        <v>-85.1</v>
      </c>
      <c r="D319" t="n" s="18">
        <v>45881.0</v>
      </c>
      <c r="E319" t="s" s="22">
        <v>10</v>
      </c>
      <c r="F319" t="n" s="31">
        <v>85.1</v>
      </c>
    </row>
    <row r="320">
      <c r="A320" t="s" s="22">
        <v>10</v>
      </c>
      <c r="C320" t="n" s="28">
        <f>F320*-1</f>
        <v>-804.95</v>
      </c>
      <c r="D320" t="n" s="18">
        <v>45881.0</v>
      </c>
      <c r="E320" t="s" s="22">
        <v>10</v>
      </c>
      <c r="F320" t="n" s="31">
        <v>804.95</v>
      </c>
    </row>
    <row r="321">
      <c r="A321" t="s" s="22">
        <v>10</v>
      </c>
      <c r="C321" t="n" s="28">
        <f>F321*-1</f>
        <v>-127.5</v>
      </c>
      <c r="D321" t="n" s="18">
        <v>45878.0</v>
      </c>
      <c r="E321" t="s" s="22">
        <v>10</v>
      </c>
      <c r="F321" t="n" s="31">
        <v>127.5</v>
      </c>
    </row>
    <row r="322">
      <c r="A322" t="s" s="22">
        <v>10</v>
      </c>
      <c r="C322" t="n" s="28">
        <f>F322*-1</f>
        <v>-847.86</v>
      </c>
      <c r="D322" t="n" s="18">
        <v>45878.0</v>
      </c>
      <c r="E322" t="s" s="22">
        <v>10</v>
      </c>
      <c r="F322" t="n" s="31">
        <v>847.86</v>
      </c>
    </row>
    <row r="323">
      <c r="A323" t="s" s="22">
        <v>10</v>
      </c>
      <c r="C323" t="n" s="28">
        <f>F323*-1</f>
        <v>-412.07</v>
      </c>
      <c r="D323" t="n" s="18">
        <v>45877.0</v>
      </c>
      <c r="E323" t="s" s="22">
        <v>10</v>
      </c>
      <c r="F323" t="n" s="31">
        <v>412.07</v>
      </c>
    </row>
    <row r="324">
      <c r="A324" t="s" s="22">
        <v>10</v>
      </c>
      <c r="C324" t="n" s="28">
        <f>F324*-1</f>
        <v>-819.68</v>
      </c>
      <c r="D324" t="n" s="18">
        <v>45876.0</v>
      </c>
      <c r="E324" t="s" s="22">
        <v>10</v>
      </c>
      <c r="F324" t="n" s="31">
        <v>819.68</v>
      </c>
    </row>
    <row r="325">
      <c r="A325" t="s" s="22">
        <v>10</v>
      </c>
      <c r="C325" t="n" s="28">
        <f>F325*-1</f>
        <v>-127.55</v>
      </c>
      <c r="D325" t="n" s="18">
        <v>45875.0</v>
      </c>
      <c r="E325" t="s" s="22">
        <v>10</v>
      </c>
      <c r="F325" t="n" s="31">
        <v>127.55</v>
      </c>
    </row>
    <row r="326">
      <c r="A326" t="s" s="22">
        <v>10</v>
      </c>
      <c r="C326" t="n" s="28">
        <f>F326*-1</f>
        <v>-2742.35</v>
      </c>
      <c r="D326" t="n" s="18">
        <v>45875.0</v>
      </c>
      <c r="E326" t="s" s="22">
        <v>10</v>
      </c>
      <c r="F326" t="n" s="31">
        <v>2742.35</v>
      </c>
    </row>
    <row r="327">
      <c r="A327" t="s" s="22">
        <v>10</v>
      </c>
      <c r="C327" t="n" s="28">
        <f>F327*-1</f>
        <v>-821.64</v>
      </c>
      <c r="D327" t="n" s="18">
        <v>45874.0</v>
      </c>
      <c r="E327" t="s" s="22">
        <v>10</v>
      </c>
      <c r="F327" t="n" s="31">
        <v>821.64</v>
      </c>
    </row>
    <row r="328">
      <c r="A328" t="s" s="22">
        <v>10</v>
      </c>
      <c r="C328" t="n" s="28">
        <f>F328*-1</f>
        <v>-42.4</v>
      </c>
      <c r="D328" t="n" s="18">
        <v>45873.0</v>
      </c>
      <c r="E328" t="s" s="22">
        <v>10</v>
      </c>
      <c r="F328" t="n" s="31">
        <v>42.4</v>
      </c>
    </row>
    <row r="329">
      <c r="A329" t="s" s="22">
        <v>10</v>
      </c>
      <c r="C329" t="n" s="28">
        <f>F329*-1</f>
        <v>-593.13</v>
      </c>
      <c r="D329" t="n" s="18">
        <v>45871.0</v>
      </c>
      <c r="E329" t="s" s="22">
        <v>10</v>
      </c>
      <c r="F329" t="n" s="31">
        <v>593.13</v>
      </c>
    </row>
    <row r="330">
      <c r="A330" t="s" s="22">
        <v>10</v>
      </c>
      <c r="C330" t="n" s="28">
        <f>F330*-1</f>
        <v>-34.66</v>
      </c>
      <c r="D330" t="n" s="18">
        <v>45870.0</v>
      </c>
      <c r="E330" t="s" s="22">
        <v>10</v>
      </c>
      <c r="F330" t="n" s="31">
        <v>34.66</v>
      </c>
    </row>
    <row r="331">
      <c r="A331" t="s" s="22">
        <v>10</v>
      </c>
      <c r="C331" t="n" s="28">
        <f>F331*-1</f>
        <v>-608.6</v>
      </c>
      <c r="D331" t="n" s="18">
        <v>45870.0</v>
      </c>
      <c r="E331" t="s" s="22">
        <v>10</v>
      </c>
      <c r="F331" t="n" s="31">
        <v>608.6</v>
      </c>
    </row>
    <row r="332">
      <c r="A332" t="s" s="22">
        <v>10</v>
      </c>
      <c r="C332" t="n" s="28">
        <f>F332*-1</f>
        <v>-909.29</v>
      </c>
      <c r="D332" t="n" s="18">
        <v>45869.0</v>
      </c>
      <c r="E332" t="s" s="22">
        <v>10</v>
      </c>
      <c r="F332" t="n" s="31">
        <v>909.29</v>
      </c>
    </row>
    <row r="333">
      <c r="A333" t="s" s="22">
        <v>10</v>
      </c>
      <c r="C333" t="n" s="28">
        <f>F333*-1</f>
        <v>-1431.1</v>
      </c>
      <c r="D333" t="n" s="18">
        <v>45868.0</v>
      </c>
      <c r="E333" t="s" s="22">
        <v>10</v>
      </c>
      <c r="F333" t="n" s="31">
        <v>1431.1</v>
      </c>
    </row>
    <row r="334">
      <c r="A334" t="s" s="22">
        <v>10</v>
      </c>
      <c r="C334" t="n" s="28">
        <f>F334*-1</f>
        <v>-284.15</v>
      </c>
      <c r="D334" t="n" s="18">
        <v>45867.0</v>
      </c>
      <c r="E334" t="s" s="22">
        <v>10</v>
      </c>
      <c r="F334" t="n" s="31">
        <v>284.15</v>
      </c>
    </row>
    <row r="335">
      <c r="A335" t="s" s="22">
        <v>10</v>
      </c>
      <c r="C335" t="n" s="28">
        <f>F335*-1</f>
        <v>-72.29</v>
      </c>
      <c r="D335" t="n" s="18">
        <v>45866.0</v>
      </c>
      <c r="E335" t="s" s="22">
        <v>10</v>
      </c>
      <c r="F335" t="n" s="31">
        <v>72.29</v>
      </c>
    </row>
    <row r="336">
      <c r="A336" t="s" s="22">
        <v>10</v>
      </c>
      <c r="C336" t="n" s="28">
        <f>F336*-1</f>
        <v>-577.32</v>
      </c>
      <c r="D336" t="n" s="18">
        <v>45864.0</v>
      </c>
      <c r="E336" t="s" s="22">
        <v>10</v>
      </c>
      <c r="F336" t="n" s="31">
        <v>577.32</v>
      </c>
    </row>
    <row r="337">
      <c r="A337" t="s" s="22">
        <v>10</v>
      </c>
      <c r="C337" t="n" s="28">
        <f>F337*-1</f>
        <v>-687.46</v>
      </c>
      <c r="D337" t="n" s="18">
        <v>45863.0</v>
      </c>
      <c r="E337" t="s" s="22">
        <v>10</v>
      </c>
      <c r="F337" t="n" s="31">
        <v>687.46</v>
      </c>
    </row>
    <row r="338">
      <c r="A338" t="s" s="22">
        <v>10</v>
      </c>
      <c r="C338" t="n" s="28">
        <f>F338*-1</f>
        <v>-945.07</v>
      </c>
      <c r="D338" t="n" s="18">
        <v>45862.0</v>
      </c>
      <c r="E338" t="s" s="22">
        <v>10</v>
      </c>
      <c r="F338" t="n" s="31">
        <v>945.07</v>
      </c>
    </row>
    <row r="339">
      <c r="A339" t="s" s="22">
        <v>10</v>
      </c>
      <c r="C339" t="n" s="28">
        <f>F339*-1</f>
        <v>-3126.76</v>
      </c>
      <c r="D339" t="n" s="18">
        <v>45861.0</v>
      </c>
      <c r="E339" t="s" s="22">
        <v>10</v>
      </c>
      <c r="F339" t="n" s="31">
        <v>3126.76</v>
      </c>
    </row>
    <row r="340">
      <c r="A340" t="s" s="22">
        <v>10</v>
      </c>
      <c r="C340" t="n" s="28">
        <f>F340*-1</f>
        <v>-196.06</v>
      </c>
      <c r="D340" t="n" s="18">
        <v>45860.0</v>
      </c>
      <c r="E340" t="s" s="22">
        <v>10</v>
      </c>
      <c r="F340" t="n" s="31">
        <v>196.06</v>
      </c>
    </row>
    <row r="341">
      <c r="A341" t="s" s="22">
        <v>10</v>
      </c>
      <c r="C341" t="n" s="28">
        <f>F341*-1</f>
        <v>-472.28</v>
      </c>
      <c r="D341" t="n" s="18">
        <v>45860.0</v>
      </c>
      <c r="E341" t="s" s="22">
        <v>10</v>
      </c>
      <c r="F341" t="n" s="31">
        <v>472.28</v>
      </c>
    </row>
    <row r="342">
      <c r="A342" t="s" s="22">
        <v>10</v>
      </c>
      <c r="C342" t="n" s="28">
        <f>F342*-1</f>
        <v>-519.96</v>
      </c>
      <c r="D342" t="n" s="18">
        <v>45857.0</v>
      </c>
      <c r="E342" t="s" s="22">
        <v>10</v>
      </c>
      <c r="F342" t="n" s="31">
        <v>519.96</v>
      </c>
    </row>
    <row r="343">
      <c r="A343" t="s" s="22">
        <v>10</v>
      </c>
      <c r="C343" t="n" s="28">
        <f>F343*-1</f>
        <v>-846.43</v>
      </c>
      <c r="D343" t="n" s="18">
        <v>45856.0</v>
      </c>
      <c r="E343" t="s" s="22">
        <v>10</v>
      </c>
      <c r="F343" t="n" s="31">
        <v>846.43</v>
      </c>
    </row>
    <row r="344">
      <c r="A344" t="s" s="22">
        <v>10</v>
      </c>
      <c r="C344" t="n" s="28">
        <f>F344*-1</f>
        <v>-898.53</v>
      </c>
      <c r="D344" t="n" s="18">
        <v>45855.0</v>
      </c>
      <c r="E344" t="s" s="22">
        <v>10</v>
      </c>
      <c r="F344" t="n" s="31">
        <v>898.53</v>
      </c>
    </row>
    <row r="345">
      <c r="A345" t="s" s="22">
        <v>10</v>
      </c>
      <c r="C345" t="n" s="28">
        <f>F345*-1</f>
        <v>-2503.46</v>
      </c>
      <c r="D345" t="n" s="18">
        <v>45854.0</v>
      </c>
      <c r="E345" t="s" s="22">
        <v>10</v>
      </c>
      <c r="F345" t="n" s="31">
        <v>2503.46</v>
      </c>
    </row>
    <row r="346">
      <c r="A346" t="s" s="22">
        <v>10</v>
      </c>
      <c r="C346" t="n" s="28">
        <f>F346*-1</f>
        <v>-81.35</v>
      </c>
      <c r="D346" t="n" s="18">
        <v>45853.0</v>
      </c>
      <c r="E346" t="s" s="22">
        <v>10</v>
      </c>
      <c r="F346" t="n" s="31">
        <v>81.35</v>
      </c>
    </row>
    <row r="347">
      <c r="A347" t="s" s="22">
        <v>10</v>
      </c>
      <c r="C347" t="n" s="28">
        <f>F347*-1</f>
        <v>-73.19</v>
      </c>
      <c r="D347" t="n" s="18">
        <v>45853.0</v>
      </c>
      <c r="E347" t="s" s="22">
        <v>10</v>
      </c>
      <c r="F347" t="n" s="31">
        <v>73.19</v>
      </c>
    </row>
    <row r="348">
      <c r="A348" t="s" s="22">
        <v>10</v>
      </c>
      <c r="C348" t="n" s="28">
        <f>F348*-1</f>
        <v>-643.13</v>
      </c>
      <c r="D348" t="n" s="18">
        <v>45853.0</v>
      </c>
      <c r="E348" t="s" s="22">
        <v>10</v>
      </c>
      <c r="F348" t="n" s="31">
        <v>643.13</v>
      </c>
    </row>
    <row r="349">
      <c r="A349" t="s" s="22">
        <v>10</v>
      </c>
      <c r="C349" t="n" s="28">
        <f>F349*-1</f>
        <v>-100.94</v>
      </c>
      <c r="D349" t="n" s="18">
        <v>45852.0</v>
      </c>
      <c r="E349" t="s" s="22">
        <v>10</v>
      </c>
      <c r="F349" t="n" s="31">
        <v>100.94</v>
      </c>
    </row>
    <row r="350">
      <c r="A350" t="s" s="22">
        <v>10</v>
      </c>
      <c r="C350" t="n" s="28">
        <f>F350*-1</f>
        <v>-904.67</v>
      </c>
      <c r="D350" t="n" s="18">
        <v>45850.0</v>
      </c>
      <c r="E350" t="s" s="22">
        <v>10</v>
      </c>
      <c r="F350" t="n" s="31">
        <v>904.67</v>
      </c>
    </row>
    <row r="351">
      <c r="A351" t="s" s="22">
        <v>10</v>
      </c>
      <c r="C351" t="n" s="28">
        <f>F351*-1</f>
        <v>-1047.16</v>
      </c>
      <c r="D351" t="n" s="18">
        <v>45849.0</v>
      </c>
      <c r="E351" t="s" s="22">
        <v>10</v>
      </c>
      <c r="F351" t="n" s="31">
        <v>1047.16</v>
      </c>
    </row>
    <row r="352">
      <c r="A352" t="s" s="22">
        <v>10</v>
      </c>
      <c r="C352" t="n" s="28">
        <f>F352*-1</f>
        <v>-1024.88</v>
      </c>
      <c r="D352" t="n" s="18">
        <v>45848.0</v>
      </c>
      <c r="E352" t="s" s="22">
        <v>10</v>
      </c>
      <c r="F352" t="n" s="31">
        <v>1024.88</v>
      </c>
    </row>
    <row r="353">
      <c r="A353" t="s" s="22">
        <v>10</v>
      </c>
      <c r="C353" t="n" s="28">
        <f>F353*-1</f>
        <v>-3243.84</v>
      </c>
      <c r="D353" t="n" s="18">
        <v>45847.0</v>
      </c>
      <c r="E353" t="s" s="22">
        <v>10</v>
      </c>
      <c r="F353" t="n" s="31">
        <v>3243.84</v>
      </c>
    </row>
    <row r="354">
      <c r="A354" t="s" s="22">
        <v>10</v>
      </c>
      <c r="C354" t="n" s="28">
        <f>F354*-1</f>
        <v>-62.5</v>
      </c>
      <c r="D354" t="n" s="18">
        <v>45846.0</v>
      </c>
      <c r="E354" t="s" s="22">
        <v>10</v>
      </c>
      <c r="F354" t="n" s="31">
        <v>62.5</v>
      </c>
    </row>
    <row r="355">
      <c r="A355" t="s" s="22">
        <v>10</v>
      </c>
      <c r="C355" t="n" s="28">
        <f>F355*-1</f>
        <v>-2947.55</v>
      </c>
      <c r="D355" t="n" s="18">
        <v>45846.0</v>
      </c>
      <c r="E355" t="s" s="22">
        <v>10</v>
      </c>
      <c r="F355" t="n" s="31">
        <v>2947.55</v>
      </c>
    </row>
    <row r="356">
      <c r="A356" t="s" s="22">
        <v>10</v>
      </c>
      <c r="C356" t="n" s="28">
        <f>F356*-1</f>
        <v>-82.42</v>
      </c>
      <c r="D356" t="n" s="18">
        <v>45845.0</v>
      </c>
      <c r="E356" t="s" s="22">
        <v>10</v>
      </c>
      <c r="F356" t="n" s="31">
        <v>82.42</v>
      </c>
    </row>
    <row r="357">
      <c r="A357" t="s" s="22">
        <v>10</v>
      </c>
      <c r="C357" t="n" s="28">
        <f>F357*-1</f>
        <v>-956.71</v>
      </c>
      <c r="D357" t="n" s="18">
        <v>45843.0</v>
      </c>
      <c r="E357" t="s" s="22">
        <v>10</v>
      </c>
      <c r="F357" t="n" s="31">
        <v>956.71</v>
      </c>
    </row>
    <row r="358">
      <c r="A358" t="s" s="22">
        <v>10</v>
      </c>
      <c r="C358" t="n" s="28">
        <f>F358*-1</f>
        <v>-1007.52</v>
      </c>
      <c r="D358" t="n" s="18">
        <v>45841.0</v>
      </c>
      <c r="E358" t="s" s="22">
        <v>10</v>
      </c>
      <c r="F358" t="n" s="31">
        <v>1007.52</v>
      </c>
    </row>
    <row r="359">
      <c r="A359" t="s" s="22">
        <v>10</v>
      </c>
      <c r="C359" t="n" s="28">
        <f>F359*-1</f>
        <v>-2477.26</v>
      </c>
      <c r="D359" t="n" s="18">
        <v>45840.0</v>
      </c>
      <c r="E359" t="s" s="22">
        <v>10</v>
      </c>
      <c r="F359" t="n" s="31">
        <v>2477.26</v>
      </c>
    </row>
    <row r="360">
      <c r="A360" t="s" s="22">
        <v>10</v>
      </c>
      <c r="C360" t="n" s="28">
        <f>F360*-1</f>
        <v>-540.29</v>
      </c>
      <c r="D360" t="n" s="18">
        <v>45839.0</v>
      </c>
      <c r="E360" t="s" s="22">
        <v>10</v>
      </c>
      <c r="F360" t="n" s="31">
        <v>540.29</v>
      </c>
    </row>
    <row r="361">
      <c r="A361" t="s" s="22">
        <v>10</v>
      </c>
      <c r="C361" t="n" s="28">
        <f>F361*-1</f>
        <v>-75.61</v>
      </c>
      <c r="D361" t="n" s="18">
        <v>45838.0</v>
      </c>
      <c r="E361" t="s" s="22">
        <v>10</v>
      </c>
      <c r="F361" t="n" s="31">
        <v>75.61</v>
      </c>
    </row>
    <row r="362">
      <c r="A362" t="s" s="22">
        <v>10</v>
      </c>
      <c r="C362" t="n" s="28">
        <f>F362*-1</f>
        <v>-85.1</v>
      </c>
      <c r="D362" t="n" s="18">
        <v>45836.0</v>
      </c>
      <c r="E362" t="s" s="22">
        <v>10</v>
      </c>
      <c r="F362" t="n" s="31">
        <v>85.1</v>
      </c>
    </row>
    <row r="363">
      <c r="A363" t="s" s="22">
        <v>10</v>
      </c>
      <c r="C363" t="n" s="28">
        <f>F363*-1</f>
        <v>-355.31</v>
      </c>
      <c r="D363" t="n" s="18">
        <v>45836.0</v>
      </c>
      <c r="E363" t="s" s="22">
        <v>10</v>
      </c>
      <c r="F363" t="n" s="31">
        <v>355.31</v>
      </c>
    </row>
    <row r="364">
      <c r="A364" t="s" s="22">
        <v>10</v>
      </c>
      <c r="C364" t="n" s="28">
        <f>F364*-1</f>
        <v>-298.15</v>
      </c>
      <c r="D364" t="n" s="18">
        <v>45835.0</v>
      </c>
      <c r="E364" t="s" s="22">
        <v>10</v>
      </c>
      <c r="F364" t="n" s="31">
        <v>298.15</v>
      </c>
    </row>
    <row r="365">
      <c r="A365" t="s" s="22">
        <v>10</v>
      </c>
      <c r="C365" t="n" s="28">
        <f>F365*-1</f>
        <v>-289.95</v>
      </c>
      <c r="D365" t="n" s="18">
        <v>45835.0</v>
      </c>
      <c r="E365" t="s" s="22">
        <v>10</v>
      </c>
      <c r="F365" t="n" s="31">
        <v>289.95</v>
      </c>
    </row>
    <row r="366">
      <c r="A366" t="s" s="22">
        <v>10</v>
      </c>
      <c r="C366" t="n" s="28">
        <f>F366*-1</f>
        <v>-933.83</v>
      </c>
      <c r="D366" t="n" s="18">
        <v>45834.0</v>
      </c>
      <c r="E366" t="s" s="22">
        <v>10</v>
      </c>
      <c r="F366" t="n" s="31">
        <v>933.83</v>
      </c>
    </row>
  </sheetData>
  <dataValidations count="365">
    <dataValidation type="list" sqref="E2" allowBlank="true" errorStyle="stop">
      <formula1>'Categories'!A2:A</formula1>
    </dataValidation>
    <dataValidation type="list" sqref="E3" allowBlank="true" errorStyle="stop">
      <formula1>'Categories'!A2:A</formula1>
    </dataValidation>
    <dataValidation type="list" sqref="E4" allowBlank="true" errorStyle="stop">
      <formula1>'Categories'!A2:A</formula1>
    </dataValidation>
    <dataValidation type="list" sqref="E5" allowBlank="true" errorStyle="stop">
      <formula1>'Categories'!A2:A</formula1>
    </dataValidation>
    <dataValidation type="list" sqref="E6" allowBlank="true" errorStyle="stop">
      <formula1>'Categories'!A2:A</formula1>
    </dataValidation>
    <dataValidation type="list" sqref="E7" allowBlank="true" errorStyle="stop">
      <formula1>'Categories'!A2:A</formula1>
    </dataValidation>
    <dataValidation type="list" sqref="E8" allowBlank="true" errorStyle="stop">
      <formula1>'Categories'!A2:A</formula1>
    </dataValidation>
    <dataValidation type="list" sqref="E9" allowBlank="true" errorStyle="stop">
      <formula1>'Categories'!A2:A</formula1>
    </dataValidation>
    <dataValidation type="list" sqref="E10" allowBlank="true" errorStyle="stop">
      <formula1>'Categories'!A2:A</formula1>
    </dataValidation>
    <dataValidation type="list" sqref="E11" allowBlank="true" errorStyle="stop">
      <formula1>'Categories'!A2:A</formula1>
    </dataValidation>
    <dataValidation type="list" sqref="E12" allowBlank="true" errorStyle="stop">
      <formula1>'Categories'!A2:A</formula1>
    </dataValidation>
    <dataValidation type="list" sqref="E13" allowBlank="true" errorStyle="stop">
      <formula1>'Categories'!A2:A</formula1>
    </dataValidation>
    <dataValidation type="list" sqref="E14" allowBlank="true" errorStyle="stop">
      <formula1>'Categories'!A2:A</formula1>
    </dataValidation>
    <dataValidation type="list" sqref="E15" allowBlank="true" errorStyle="stop">
      <formula1>'Categories'!A2:A</formula1>
    </dataValidation>
    <dataValidation type="list" sqref="E16" allowBlank="true" errorStyle="stop">
      <formula1>'Categories'!A2:A</formula1>
    </dataValidation>
    <dataValidation type="list" sqref="E17" allowBlank="true" errorStyle="stop">
      <formula1>'Categories'!A2:A</formula1>
    </dataValidation>
    <dataValidation type="list" sqref="E18" allowBlank="true" errorStyle="stop">
      <formula1>'Categories'!A2:A</formula1>
    </dataValidation>
    <dataValidation type="list" sqref="E19" allowBlank="true" errorStyle="stop">
      <formula1>'Categories'!A2:A</formula1>
    </dataValidation>
    <dataValidation type="list" sqref="E20" allowBlank="true" errorStyle="stop">
      <formula1>'Categories'!A2:A</formula1>
    </dataValidation>
    <dataValidation type="list" sqref="E21" allowBlank="true" errorStyle="stop">
      <formula1>'Categories'!A2:A</formula1>
    </dataValidation>
    <dataValidation type="list" sqref="E22" allowBlank="true" errorStyle="stop">
      <formula1>'Categories'!A2:A</formula1>
    </dataValidation>
    <dataValidation type="list" sqref="E23" allowBlank="true" errorStyle="stop">
      <formula1>'Categories'!A2:A</formula1>
    </dataValidation>
    <dataValidation type="list" sqref="E24" allowBlank="true" errorStyle="stop">
      <formula1>'Categories'!A2:A</formula1>
    </dataValidation>
    <dataValidation type="list" sqref="E25" allowBlank="true" errorStyle="stop">
      <formula1>'Categories'!A2:A</formula1>
    </dataValidation>
    <dataValidation type="list" sqref="E26" allowBlank="true" errorStyle="stop">
      <formula1>'Categories'!A2:A</formula1>
    </dataValidation>
    <dataValidation type="list" sqref="E27" allowBlank="true" errorStyle="stop">
      <formula1>'Categories'!A2:A</formula1>
    </dataValidation>
    <dataValidation type="list" sqref="E28" allowBlank="true" errorStyle="stop">
      <formula1>'Categories'!A2:A</formula1>
    </dataValidation>
    <dataValidation type="list" sqref="E29" allowBlank="true" errorStyle="stop">
      <formula1>'Categories'!A2:A</formula1>
    </dataValidation>
    <dataValidation type="list" sqref="E30" allowBlank="true" errorStyle="stop">
      <formula1>'Categories'!A2:A</formula1>
    </dataValidation>
    <dataValidation type="list" sqref="E31" allowBlank="true" errorStyle="stop">
      <formula1>'Categories'!A2:A</formula1>
    </dataValidation>
    <dataValidation type="list" sqref="E32" allowBlank="true" errorStyle="stop">
      <formula1>'Categories'!A2:A</formula1>
    </dataValidation>
    <dataValidation type="list" sqref="E33" allowBlank="true" errorStyle="stop">
      <formula1>'Categories'!A2:A</formula1>
    </dataValidation>
    <dataValidation type="list" sqref="E34" allowBlank="true" errorStyle="stop">
      <formula1>'Categories'!A2:A</formula1>
    </dataValidation>
    <dataValidation type="list" sqref="E35" allowBlank="true" errorStyle="stop">
      <formula1>'Categories'!A2:A</formula1>
    </dataValidation>
    <dataValidation type="list" sqref="E36" allowBlank="true" errorStyle="stop">
      <formula1>'Categories'!A2:A</formula1>
    </dataValidation>
    <dataValidation type="list" sqref="E37" allowBlank="true" errorStyle="stop">
      <formula1>'Categories'!A2:A</formula1>
    </dataValidation>
    <dataValidation type="list" sqref="E38" allowBlank="true" errorStyle="stop">
      <formula1>'Categories'!A2:A</formula1>
    </dataValidation>
    <dataValidation type="list" sqref="E39" allowBlank="true" errorStyle="stop">
      <formula1>'Categories'!A2:A</formula1>
    </dataValidation>
    <dataValidation type="list" sqref="E40" allowBlank="true" errorStyle="stop">
      <formula1>'Categories'!A2:A</formula1>
    </dataValidation>
    <dataValidation type="list" sqref="E41" allowBlank="true" errorStyle="stop">
      <formula1>'Categories'!A2:A</formula1>
    </dataValidation>
    <dataValidation type="list" sqref="E42" allowBlank="true" errorStyle="stop">
      <formula1>'Categories'!A2:A</formula1>
    </dataValidation>
    <dataValidation type="list" sqref="E43" allowBlank="true" errorStyle="stop">
      <formula1>'Categories'!A2:A</formula1>
    </dataValidation>
    <dataValidation type="list" sqref="E44" allowBlank="true" errorStyle="stop">
      <formula1>'Categories'!A2:A</formula1>
    </dataValidation>
    <dataValidation type="list" sqref="E45" allowBlank="true" errorStyle="stop">
      <formula1>'Categories'!A2:A</formula1>
    </dataValidation>
    <dataValidation type="list" sqref="E46" allowBlank="true" errorStyle="stop">
      <formula1>'Categories'!A2:A</formula1>
    </dataValidation>
    <dataValidation type="list" sqref="E47" allowBlank="true" errorStyle="stop">
      <formula1>'Categories'!A2:A</formula1>
    </dataValidation>
    <dataValidation type="list" sqref="E48" allowBlank="true" errorStyle="stop">
      <formula1>'Categories'!A2:A</formula1>
    </dataValidation>
    <dataValidation type="list" sqref="E49" allowBlank="true" errorStyle="stop">
      <formula1>'Categories'!A2:A</formula1>
    </dataValidation>
    <dataValidation type="list" sqref="E50" allowBlank="true" errorStyle="stop">
      <formula1>'Categories'!A2:A</formula1>
    </dataValidation>
    <dataValidation type="list" sqref="E51" allowBlank="true" errorStyle="stop">
      <formula1>'Categories'!A2:A</formula1>
    </dataValidation>
    <dataValidation type="list" sqref="E52" allowBlank="true" errorStyle="stop">
      <formula1>'Categories'!A2:A</formula1>
    </dataValidation>
    <dataValidation type="list" sqref="E53" allowBlank="true" errorStyle="stop">
      <formula1>'Categories'!A2:A</formula1>
    </dataValidation>
    <dataValidation type="list" sqref="E54" allowBlank="true" errorStyle="stop">
      <formula1>'Categories'!A2:A</formula1>
    </dataValidation>
    <dataValidation type="list" sqref="E55" allowBlank="true" errorStyle="stop">
      <formula1>'Categories'!A2:A</formula1>
    </dataValidation>
    <dataValidation type="list" sqref="E56" allowBlank="true" errorStyle="stop">
      <formula1>'Categories'!A2:A</formula1>
    </dataValidation>
    <dataValidation type="list" sqref="E57" allowBlank="true" errorStyle="stop">
      <formula1>'Categories'!A2:A</formula1>
    </dataValidation>
    <dataValidation type="list" sqref="E58" allowBlank="true" errorStyle="stop">
      <formula1>'Categories'!A2:A</formula1>
    </dataValidation>
    <dataValidation type="list" sqref="E59" allowBlank="true" errorStyle="stop">
      <formula1>'Categories'!A2:A</formula1>
    </dataValidation>
    <dataValidation type="list" sqref="E60" allowBlank="true" errorStyle="stop">
      <formula1>'Categories'!A2:A</formula1>
    </dataValidation>
    <dataValidation type="list" sqref="E61" allowBlank="true" errorStyle="stop">
      <formula1>'Categories'!A2:A</formula1>
    </dataValidation>
    <dataValidation type="list" sqref="E62" allowBlank="true" errorStyle="stop">
      <formula1>'Categories'!A2:A</formula1>
    </dataValidation>
    <dataValidation type="list" sqref="E63" allowBlank="true" errorStyle="stop">
      <formula1>'Categories'!A2:A</formula1>
    </dataValidation>
    <dataValidation type="list" sqref="E64" allowBlank="true" errorStyle="stop">
      <formula1>'Categories'!A2:A</formula1>
    </dataValidation>
    <dataValidation type="list" sqref="E65" allowBlank="true" errorStyle="stop">
      <formula1>'Categories'!A2:A</formula1>
    </dataValidation>
    <dataValidation type="list" sqref="E66" allowBlank="true" errorStyle="stop">
      <formula1>'Categories'!A2:A</formula1>
    </dataValidation>
    <dataValidation type="list" sqref="E67" allowBlank="true" errorStyle="stop">
      <formula1>'Categories'!A2:A</formula1>
    </dataValidation>
    <dataValidation type="list" sqref="E68" allowBlank="true" errorStyle="stop">
      <formula1>'Categories'!A2:A</formula1>
    </dataValidation>
    <dataValidation type="list" sqref="E69" allowBlank="true" errorStyle="stop">
      <formula1>'Categories'!A2:A</formula1>
    </dataValidation>
    <dataValidation type="list" sqref="E70" allowBlank="true" errorStyle="stop">
      <formula1>'Categories'!A2:A</formula1>
    </dataValidation>
    <dataValidation type="list" sqref="E71" allowBlank="true" errorStyle="stop">
      <formula1>'Categories'!A2:A</formula1>
    </dataValidation>
    <dataValidation type="list" sqref="E72" allowBlank="true" errorStyle="stop">
      <formula1>'Categories'!A2:A</formula1>
    </dataValidation>
    <dataValidation type="list" sqref="E73" allowBlank="true" errorStyle="stop">
      <formula1>'Categories'!A2:A</formula1>
    </dataValidation>
    <dataValidation type="list" sqref="E74" allowBlank="true" errorStyle="stop">
      <formula1>'Categories'!A2:A</formula1>
    </dataValidation>
    <dataValidation type="list" sqref="E75" allowBlank="true" errorStyle="stop">
      <formula1>'Categories'!A2:A</formula1>
    </dataValidation>
    <dataValidation type="list" sqref="E76" allowBlank="true" errorStyle="stop">
      <formula1>'Categories'!A2:A</formula1>
    </dataValidation>
    <dataValidation type="list" sqref="E77" allowBlank="true" errorStyle="stop">
      <formula1>'Categories'!A2:A</formula1>
    </dataValidation>
    <dataValidation type="list" sqref="E78" allowBlank="true" errorStyle="stop">
      <formula1>'Categories'!A2:A</formula1>
    </dataValidation>
    <dataValidation type="list" sqref="E79" allowBlank="true" errorStyle="stop">
      <formula1>'Categories'!A2:A</formula1>
    </dataValidation>
    <dataValidation type="list" sqref="E80" allowBlank="true" errorStyle="stop">
      <formula1>'Categories'!A2:A</formula1>
    </dataValidation>
    <dataValidation type="list" sqref="E81" allowBlank="true" errorStyle="stop">
      <formula1>'Categories'!A2:A</formula1>
    </dataValidation>
    <dataValidation type="list" sqref="E82" allowBlank="true" errorStyle="stop">
      <formula1>'Categories'!A2:A</formula1>
    </dataValidation>
    <dataValidation type="list" sqref="E83" allowBlank="true" errorStyle="stop">
      <formula1>'Categories'!A2:A</formula1>
    </dataValidation>
    <dataValidation type="list" sqref="E84" allowBlank="true" errorStyle="stop">
      <formula1>'Categories'!A2:A</formula1>
    </dataValidation>
    <dataValidation type="list" sqref="E85" allowBlank="true" errorStyle="stop">
      <formula1>'Categories'!A2:A</formula1>
    </dataValidation>
    <dataValidation type="list" sqref="E86" allowBlank="true" errorStyle="stop">
      <formula1>'Categories'!A2:A</formula1>
    </dataValidation>
    <dataValidation type="list" sqref="E87" allowBlank="true" errorStyle="stop">
      <formula1>'Categories'!A2:A</formula1>
    </dataValidation>
    <dataValidation type="list" sqref="E88" allowBlank="true" errorStyle="stop">
      <formula1>'Categories'!A2:A</formula1>
    </dataValidation>
    <dataValidation type="list" sqref="E89" allowBlank="true" errorStyle="stop">
      <formula1>'Categories'!A2:A</formula1>
    </dataValidation>
    <dataValidation type="list" sqref="E90" allowBlank="true" errorStyle="stop">
      <formula1>'Categories'!A2:A</formula1>
    </dataValidation>
    <dataValidation type="list" sqref="E91" allowBlank="true" errorStyle="stop">
      <formula1>'Categories'!A2:A</formula1>
    </dataValidation>
    <dataValidation type="list" sqref="E92" allowBlank="true" errorStyle="stop">
      <formula1>'Categories'!A2:A</formula1>
    </dataValidation>
    <dataValidation type="list" sqref="E93" allowBlank="true" errorStyle="stop">
      <formula1>'Categories'!A2:A</formula1>
    </dataValidation>
    <dataValidation type="list" sqref="E94" allowBlank="true" errorStyle="stop">
      <formula1>'Categories'!A2:A</formula1>
    </dataValidation>
    <dataValidation type="list" sqref="E95" allowBlank="true" errorStyle="stop">
      <formula1>'Categories'!A2:A</formula1>
    </dataValidation>
    <dataValidation type="list" sqref="E96" allowBlank="true" errorStyle="stop">
      <formula1>'Categories'!A2:A</formula1>
    </dataValidation>
    <dataValidation type="list" sqref="E97" allowBlank="true" errorStyle="stop">
      <formula1>'Categories'!A2:A</formula1>
    </dataValidation>
    <dataValidation type="list" sqref="E98" allowBlank="true" errorStyle="stop">
      <formula1>'Categories'!A2:A</formula1>
    </dataValidation>
    <dataValidation type="list" sqref="E99" allowBlank="true" errorStyle="stop">
      <formula1>'Categories'!A2:A</formula1>
    </dataValidation>
    <dataValidation type="list" sqref="E100" allowBlank="true" errorStyle="stop">
      <formula1>'Categories'!A2:A</formula1>
    </dataValidation>
    <dataValidation type="list" sqref="E101" allowBlank="true" errorStyle="stop">
      <formula1>'Categories'!A2:A</formula1>
    </dataValidation>
    <dataValidation type="list" sqref="E102" allowBlank="true" errorStyle="stop">
      <formula1>'Categories'!A2:A</formula1>
    </dataValidation>
    <dataValidation type="list" sqref="E103" allowBlank="true" errorStyle="stop">
      <formula1>'Categories'!A2:A</formula1>
    </dataValidation>
    <dataValidation type="list" sqref="E104" allowBlank="true" errorStyle="stop">
      <formula1>'Categories'!A2:A</formula1>
    </dataValidation>
    <dataValidation type="list" sqref="E105" allowBlank="true" errorStyle="stop">
      <formula1>'Categories'!A2:A</formula1>
    </dataValidation>
    <dataValidation type="list" sqref="E106" allowBlank="true" errorStyle="stop">
      <formula1>'Categories'!A2:A</formula1>
    </dataValidation>
    <dataValidation type="list" sqref="E107" allowBlank="true" errorStyle="stop">
      <formula1>'Categories'!A2:A</formula1>
    </dataValidation>
    <dataValidation type="list" sqref="E108" allowBlank="true" errorStyle="stop">
      <formula1>'Categories'!A2:A</formula1>
    </dataValidation>
    <dataValidation type="list" sqref="E109" allowBlank="true" errorStyle="stop">
      <formula1>'Categories'!A2:A</formula1>
    </dataValidation>
    <dataValidation type="list" sqref="E110" allowBlank="true" errorStyle="stop">
      <formula1>'Categories'!A2:A</formula1>
    </dataValidation>
    <dataValidation type="list" sqref="E111" allowBlank="true" errorStyle="stop">
      <formula1>'Categories'!A2:A</formula1>
    </dataValidation>
    <dataValidation type="list" sqref="E112" allowBlank="true" errorStyle="stop">
      <formula1>'Categories'!A2:A</formula1>
    </dataValidation>
    <dataValidation type="list" sqref="E113" allowBlank="true" errorStyle="stop">
      <formula1>'Categories'!A2:A</formula1>
    </dataValidation>
    <dataValidation type="list" sqref="E114" allowBlank="true" errorStyle="stop">
      <formula1>'Categories'!A2:A</formula1>
    </dataValidation>
    <dataValidation type="list" sqref="E115" allowBlank="true" errorStyle="stop">
      <formula1>'Categories'!A2:A</formula1>
    </dataValidation>
    <dataValidation type="list" sqref="E116" allowBlank="true" errorStyle="stop">
      <formula1>'Categories'!A2:A</formula1>
    </dataValidation>
    <dataValidation type="list" sqref="E117" allowBlank="true" errorStyle="stop">
      <formula1>'Categories'!A2:A</formula1>
    </dataValidation>
    <dataValidation type="list" sqref="E118" allowBlank="true" errorStyle="stop">
      <formula1>'Categories'!A2:A</formula1>
    </dataValidation>
    <dataValidation type="list" sqref="E119" allowBlank="true" errorStyle="stop">
      <formula1>'Categories'!A2:A</formula1>
    </dataValidation>
    <dataValidation type="list" sqref="E120" allowBlank="true" errorStyle="stop">
      <formula1>'Categories'!A2:A</formula1>
    </dataValidation>
    <dataValidation type="list" sqref="E121" allowBlank="true" errorStyle="stop">
      <formula1>'Categories'!A2:A</formula1>
    </dataValidation>
    <dataValidation type="list" sqref="E122" allowBlank="true" errorStyle="stop">
      <formula1>'Categories'!A2:A</formula1>
    </dataValidation>
    <dataValidation type="list" sqref="E123" allowBlank="true" errorStyle="stop">
      <formula1>'Categories'!A2:A</formula1>
    </dataValidation>
    <dataValidation type="list" sqref="E124" allowBlank="true" errorStyle="stop">
      <formula1>'Categories'!A2:A</formula1>
    </dataValidation>
    <dataValidation type="list" sqref="E125" allowBlank="true" errorStyle="stop">
      <formula1>'Categories'!A2:A</formula1>
    </dataValidation>
    <dataValidation type="list" sqref="E126" allowBlank="true" errorStyle="stop">
      <formula1>'Categories'!A2:A</formula1>
    </dataValidation>
    <dataValidation type="list" sqref="E127" allowBlank="true" errorStyle="stop">
      <formula1>'Categories'!A2:A</formula1>
    </dataValidation>
    <dataValidation type="list" sqref="E128" allowBlank="true" errorStyle="stop">
      <formula1>'Categories'!A2:A</formula1>
    </dataValidation>
    <dataValidation type="list" sqref="E129" allowBlank="true" errorStyle="stop">
      <formula1>'Categories'!A2:A</formula1>
    </dataValidation>
    <dataValidation type="list" sqref="E130" allowBlank="true" errorStyle="stop">
      <formula1>'Categories'!A2:A</formula1>
    </dataValidation>
    <dataValidation type="list" sqref="E131" allowBlank="true" errorStyle="stop">
      <formula1>'Categories'!A2:A</formula1>
    </dataValidation>
    <dataValidation type="list" sqref="E132" allowBlank="true" errorStyle="stop">
      <formula1>'Categories'!A2:A</formula1>
    </dataValidation>
    <dataValidation type="list" sqref="E133" allowBlank="true" errorStyle="stop">
      <formula1>'Categories'!A2:A</formula1>
    </dataValidation>
    <dataValidation type="list" sqref="E134" allowBlank="true" errorStyle="stop">
      <formula1>'Categories'!A2:A</formula1>
    </dataValidation>
    <dataValidation type="list" sqref="E135" allowBlank="true" errorStyle="stop">
      <formula1>'Categories'!A2:A</formula1>
    </dataValidation>
    <dataValidation type="list" sqref="E136" allowBlank="true" errorStyle="stop">
      <formula1>'Categories'!A2:A</formula1>
    </dataValidation>
    <dataValidation type="list" sqref="E137" allowBlank="true" errorStyle="stop">
      <formula1>'Categories'!A2:A</formula1>
    </dataValidation>
    <dataValidation type="list" sqref="E138" allowBlank="true" errorStyle="stop">
      <formula1>'Categories'!A2:A</formula1>
    </dataValidation>
    <dataValidation type="list" sqref="E139" allowBlank="true" errorStyle="stop">
      <formula1>'Categories'!A2:A</formula1>
    </dataValidation>
    <dataValidation type="list" sqref="E140" allowBlank="true" errorStyle="stop">
      <formula1>'Categories'!A2:A</formula1>
    </dataValidation>
    <dataValidation type="list" sqref="E141" allowBlank="true" errorStyle="stop">
      <formula1>'Categories'!A2:A</formula1>
    </dataValidation>
    <dataValidation type="list" sqref="E142" allowBlank="true" errorStyle="stop">
      <formula1>'Categories'!A2:A</formula1>
    </dataValidation>
    <dataValidation type="list" sqref="E143" allowBlank="true" errorStyle="stop">
      <formula1>'Categories'!A2:A</formula1>
    </dataValidation>
    <dataValidation type="list" sqref="E144" allowBlank="true" errorStyle="stop">
      <formula1>'Categories'!A2:A</formula1>
    </dataValidation>
    <dataValidation type="list" sqref="E145" allowBlank="true" errorStyle="stop">
      <formula1>'Categories'!A2:A</formula1>
    </dataValidation>
    <dataValidation type="list" sqref="E146" allowBlank="true" errorStyle="stop">
      <formula1>'Categories'!A2:A</formula1>
    </dataValidation>
    <dataValidation type="list" sqref="E147" allowBlank="true" errorStyle="stop">
      <formula1>'Categories'!A2:A</formula1>
    </dataValidation>
    <dataValidation type="list" sqref="E148" allowBlank="true" errorStyle="stop">
      <formula1>'Categories'!A2:A</formula1>
    </dataValidation>
    <dataValidation type="list" sqref="E149" allowBlank="true" errorStyle="stop">
      <formula1>'Categories'!A2:A</formula1>
    </dataValidation>
    <dataValidation type="list" sqref="E150" allowBlank="true" errorStyle="stop">
      <formula1>'Categories'!A2:A</formula1>
    </dataValidation>
    <dataValidation type="list" sqref="E151" allowBlank="true" errorStyle="stop">
      <formula1>'Categories'!A2:A</formula1>
    </dataValidation>
    <dataValidation type="list" sqref="E152" allowBlank="true" errorStyle="stop">
      <formula1>'Categories'!A2:A</formula1>
    </dataValidation>
    <dataValidation type="list" sqref="E153" allowBlank="true" errorStyle="stop">
      <formula1>'Categories'!A2:A</formula1>
    </dataValidation>
    <dataValidation type="list" sqref="E154" allowBlank="true" errorStyle="stop">
      <formula1>'Categories'!A2:A</formula1>
    </dataValidation>
    <dataValidation type="list" sqref="E155" allowBlank="true" errorStyle="stop">
      <formula1>'Categories'!A2:A</formula1>
    </dataValidation>
    <dataValidation type="list" sqref="E156" allowBlank="true" errorStyle="stop">
      <formula1>'Categories'!A2:A</formula1>
    </dataValidation>
    <dataValidation type="list" sqref="E157" allowBlank="true" errorStyle="stop">
      <formula1>'Categories'!A2:A</formula1>
    </dataValidation>
    <dataValidation type="list" sqref="E158" allowBlank="true" errorStyle="stop">
      <formula1>'Categories'!A2:A</formula1>
    </dataValidation>
    <dataValidation type="list" sqref="E159" allowBlank="true" errorStyle="stop">
      <formula1>'Categories'!A2:A</formula1>
    </dataValidation>
    <dataValidation type="list" sqref="E160" allowBlank="true" errorStyle="stop">
      <formula1>'Categories'!A2:A</formula1>
    </dataValidation>
    <dataValidation type="list" sqref="E161" allowBlank="true" errorStyle="stop">
      <formula1>'Categories'!A2:A</formula1>
    </dataValidation>
    <dataValidation type="list" sqref="E162" allowBlank="true" errorStyle="stop">
      <formula1>'Categories'!A2:A</formula1>
    </dataValidation>
    <dataValidation type="list" sqref="E163" allowBlank="true" errorStyle="stop">
      <formula1>'Categories'!A2:A</formula1>
    </dataValidation>
    <dataValidation type="list" sqref="E164" allowBlank="true" errorStyle="stop">
      <formula1>'Categories'!A2:A</formula1>
    </dataValidation>
    <dataValidation type="list" sqref="E165" allowBlank="true" errorStyle="stop">
      <formula1>'Categories'!A2:A</formula1>
    </dataValidation>
    <dataValidation type="list" sqref="E166" allowBlank="true" errorStyle="stop">
      <formula1>'Categories'!A2:A</formula1>
    </dataValidation>
    <dataValidation type="list" sqref="E167" allowBlank="true" errorStyle="stop">
      <formula1>'Categories'!A2:A</formula1>
    </dataValidation>
    <dataValidation type="list" sqref="E168" allowBlank="true" errorStyle="stop">
      <formula1>'Categories'!A2:A</formula1>
    </dataValidation>
    <dataValidation type="list" sqref="E169" allowBlank="true" errorStyle="stop">
      <formula1>'Categories'!A2:A</formula1>
    </dataValidation>
    <dataValidation type="list" sqref="E170" allowBlank="true" errorStyle="stop">
      <formula1>'Categories'!A2:A</formula1>
    </dataValidation>
    <dataValidation type="list" sqref="E171" allowBlank="true" errorStyle="stop">
      <formula1>'Categories'!A2:A</formula1>
    </dataValidation>
    <dataValidation type="list" sqref="E172" allowBlank="true" errorStyle="stop">
      <formula1>'Categories'!A2:A</formula1>
    </dataValidation>
    <dataValidation type="list" sqref="E173" allowBlank="true" errorStyle="stop">
      <formula1>'Categories'!A2:A</formula1>
    </dataValidation>
    <dataValidation type="list" sqref="E174" allowBlank="true" errorStyle="stop">
      <formula1>'Categories'!A2:A</formula1>
    </dataValidation>
    <dataValidation type="list" sqref="E175" allowBlank="true" errorStyle="stop">
      <formula1>'Categories'!A2:A</formula1>
    </dataValidation>
    <dataValidation type="list" sqref="E176" allowBlank="true" errorStyle="stop">
      <formula1>'Categories'!A2:A</formula1>
    </dataValidation>
    <dataValidation type="list" sqref="E177" allowBlank="true" errorStyle="stop">
      <formula1>'Categories'!A2:A</formula1>
    </dataValidation>
    <dataValidation type="list" sqref="E178" allowBlank="true" errorStyle="stop">
      <formula1>'Categories'!A2:A</formula1>
    </dataValidation>
    <dataValidation type="list" sqref="E179" allowBlank="true" errorStyle="stop">
      <formula1>'Categories'!A2:A</formula1>
    </dataValidation>
    <dataValidation type="list" sqref="E180" allowBlank="true" errorStyle="stop">
      <formula1>'Categories'!A2:A</formula1>
    </dataValidation>
    <dataValidation type="list" sqref="E181" allowBlank="true" errorStyle="stop">
      <formula1>'Categories'!A2:A</formula1>
    </dataValidation>
    <dataValidation type="list" sqref="E182" allowBlank="true" errorStyle="stop">
      <formula1>'Categories'!A2:A</formula1>
    </dataValidation>
    <dataValidation type="list" sqref="E183" allowBlank="true" errorStyle="stop">
      <formula1>'Categories'!A2:A</formula1>
    </dataValidation>
    <dataValidation type="list" sqref="E184" allowBlank="true" errorStyle="stop">
      <formula1>'Categories'!A2:A</formula1>
    </dataValidation>
    <dataValidation type="list" sqref="E185" allowBlank="true" errorStyle="stop">
      <formula1>'Categories'!A2:A</formula1>
    </dataValidation>
    <dataValidation type="list" sqref="E186" allowBlank="true" errorStyle="stop">
      <formula1>'Categories'!A2:A</formula1>
    </dataValidation>
    <dataValidation type="list" sqref="E187" allowBlank="true" errorStyle="stop">
      <formula1>'Categories'!A2:A</formula1>
    </dataValidation>
    <dataValidation type="list" sqref="E188" allowBlank="true" errorStyle="stop">
      <formula1>'Categories'!A2:A</formula1>
    </dataValidation>
    <dataValidation type="list" sqref="E189" allowBlank="true" errorStyle="stop">
      <formula1>'Categories'!A2:A</formula1>
    </dataValidation>
    <dataValidation type="list" sqref="E190" allowBlank="true" errorStyle="stop">
      <formula1>'Categories'!A2:A</formula1>
    </dataValidation>
    <dataValidation type="list" sqref="E191" allowBlank="true" errorStyle="stop">
      <formula1>'Categories'!A2:A</formula1>
    </dataValidation>
    <dataValidation type="list" sqref="E192" allowBlank="true" errorStyle="stop">
      <formula1>'Categories'!A2:A</formula1>
    </dataValidation>
    <dataValidation type="list" sqref="E193" allowBlank="true" errorStyle="stop">
      <formula1>'Categories'!A2:A</formula1>
    </dataValidation>
    <dataValidation type="list" sqref="E194" allowBlank="true" errorStyle="stop">
      <formula1>'Categories'!A2:A</formula1>
    </dataValidation>
    <dataValidation type="list" sqref="E195" allowBlank="true" errorStyle="stop">
      <formula1>'Categories'!A2:A</formula1>
    </dataValidation>
    <dataValidation type="list" sqref="E196" allowBlank="true" errorStyle="stop">
      <formula1>'Categories'!A2:A</formula1>
    </dataValidation>
    <dataValidation type="list" sqref="E197" allowBlank="true" errorStyle="stop">
      <formula1>'Categories'!A2:A</formula1>
    </dataValidation>
    <dataValidation type="list" sqref="E198" allowBlank="true" errorStyle="stop">
      <formula1>'Categories'!A2:A</formula1>
    </dataValidation>
    <dataValidation type="list" sqref="E199" allowBlank="true" errorStyle="stop">
      <formula1>'Categories'!A2:A</formula1>
    </dataValidation>
    <dataValidation type="list" sqref="E200" allowBlank="true" errorStyle="stop">
      <formula1>'Categories'!A2:A</formula1>
    </dataValidation>
    <dataValidation type="list" sqref="E201" allowBlank="true" errorStyle="stop">
      <formula1>'Categories'!A2:A</formula1>
    </dataValidation>
    <dataValidation type="list" sqref="E202" allowBlank="true" errorStyle="stop">
      <formula1>'Categories'!A2:A</formula1>
    </dataValidation>
    <dataValidation type="list" sqref="E203" allowBlank="true" errorStyle="stop">
      <formula1>'Categories'!A2:A</formula1>
    </dataValidation>
    <dataValidation type="list" sqref="E204" allowBlank="true" errorStyle="stop">
      <formula1>'Categories'!A2:A</formula1>
    </dataValidation>
    <dataValidation type="list" sqref="E205" allowBlank="true" errorStyle="stop">
      <formula1>'Categories'!A2:A</formula1>
    </dataValidation>
    <dataValidation type="list" sqref="E206" allowBlank="true" errorStyle="stop">
      <formula1>'Categories'!A2:A</formula1>
    </dataValidation>
    <dataValidation type="list" sqref="E207" allowBlank="true" errorStyle="stop">
      <formula1>'Categories'!A2:A</formula1>
    </dataValidation>
    <dataValidation type="list" sqref="E208" allowBlank="true" errorStyle="stop">
      <formula1>'Categories'!A2:A</formula1>
    </dataValidation>
    <dataValidation type="list" sqref="E209" allowBlank="true" errorStyle="stop">
      <formula1>'Categories'!A2:A</formula1>
    </dataValidation>
    <dataValidation type="list" sqref="E210" allowBlank="true" errorStyle="stop">
      <formula1>'Categories'!A2:A</formula1>
    </dataValidation>
    <dataValidation type="list" sqref="E211" allowBlank="true" errorStyle="stop">
      <formula1>'Categories'!A2:A</formula1>
    </dataValidation>
    <dataValidation type="list" sqref="E212" allowBlank="true" errorStyle="stop">
      <formula1>'Categories'!A2:A</formula1>
    </dataValidation>
    <dataValidation type="list" sqref="E213" allowBlank="true" errorStyle="stop">
      <formula1>'Categories'!A2:A</formula1>
    </dataValidation>
    <dataValidation type="list" sqref="E214" allowBlank="true" errorStyle="stop">
      <formula1>'Categories'!A2:A</formula1>
    </dataValidation>
    <dataValidation type="list" sqref="E215" allowBlank="true" errorStyle="stop">
      <formula1>'Categories'!A2:A</formula1>
    </dataValidation>
    <dataValidation type="list" sqref="E216" allowBlank="true" errorStyle="stop">
      <formula1>'Categories'!A2:A</formula1>
    </dataValidation>
    <dataValidation type="list" sqref="E217" allowBlank="true" errorStyle="stop">
      <formula1>'Categories'!A2:A</formula1>
    </dataValidation>
    <dataValidation type="list" sqref="E218" allowBlank="true" errorStyle="stop">
      <formula1>'Categories'!A2:A</formula1>
    </dataValidation>
    <dataValidation type="list" sqref="E219" allowBlank="true" errorStyle="stop">
      <formula1>'Categories'!A2:A</formula1>
    </dataValidation>
    <dataValidation type="list" sqref="E220" allowBlank="true" errorStyle="stop">
      <formula1>'Categories'!A2:A</formula1>
    </dataValidation>
    <dataValidation type="list" sqref="E221" allowBlank="true" errorStyle="stop">
      <formula1>'Categories'!A2:A</formula1>
    </dataValidation>
    <dataValidation type="list" sqref="E222" allowBlank="true" errorStyle="stop">
      <formula1>'Categories'!A2:A</formula1>
    </dataValidation>
    <dataValidation type="list" sqref="E223" allowBlank="true" errorStyle="stop">
      <formula1>'Categories'!A2:A</formula1>
    </dataValidation>
    <dataValidation type="list" sqref="E224" allowBlank="true" errorStyle="stop">
      <formula1>'Categories'!A2:A</formula1>
    </dataValidation>
    <dataValidation type="list" sqref="E225" allowBlank="true" errorStyle="stop">
      <formula1>'Categories'!A2:A</formula1>
    </dataValidation>
    <dataValidation type="list" sqref="E226" allowBlank="true" errorStyle="stop">
      <formula1>'Categories'!A2:A</formula1>
    </dataValidation>
    <dataValidation type="list" sqref="E227" allowBlank="true" errorStyle="stop">
      <formula1>'Categories'!A2:A</formula1>
    </dataValidation>
    <dataValidation type="list" sqref="E228" allowBlank="true" errorStyle="stop">
      <formula1>'Categories'!A2:A</formula1>
    </dataValidation>
    <dataValidation type="list" sqref="E229" allowBlank="true" errorStyle="stop">
      <formula1>'Categories'!A2:A</formula1>
    </dataValidation>
    <dataValidation type="list" sqref="E230" allowBlank="true" errorStyle="stop">
      <formula1>'Categories'!A2:A</formula1>
    </dataValidation>
    <dataValidation type="list" sqref="E231" allowBlank="true" errorStyle="stop">
      <formula1>'Categories'!A2:A</formula1>
    </dataValidation>
    <dataValidation type="list" sqref="E232" allowBlank="true" errorStyle="stop">
      <formula1>'Categories'!A2:A</formula1>
    </dataValidation>
    <dataValidation type="list" sqref="E233" allowBlank="true" errorStyle="stop">
      <formula1>'Categories'!A2:A</formula1>
    </dataValidation>
    <dataValidation type="list" sqref="E234" allowBlank="true" errorStyle="stop">
      <formula1>'Categories'!A2:A</formula1>
    </dataValidation>
    <dataValidation type="list" sqref="E235" allowBlank="true" errorStyle="stop">
      <formula1>'Categories'!A2:A</formula1>
    </dataValidation>
    <dataValidation type="list" sqref="E236" allowBlank="true" errorStyle="stop">
      <formula1>'Categories'!A2:A</formula1>
    </dataValidation>
    <dataValidation type="list" sqref="E237" allowBlank="true" errorStyle="stop">
      <formula1>'Categories'!A2:A</formula1>
    </dataValidation>
    <dataValidation type="list" sqref="E238" allowBlank="true" errorStyle="stop">
      <formula1>'Categories'!A2:A</formula1>
    </dataValidation>
    <dataValidation type="list" sqref="E239" allowBlank="true" errorStyle="stop">
      <formula1>'Categories'!A2:A</formula1>
    </dataValidation>
    <dataValidation type="list" sqref="E240" allowBlank="true" errorStyle="stop">
      <formula1>'Categories'!A2:A</formula1>
    </dataValidation>
    <dataValidation type="list" sqref="E241" allowBlank="true" errorStyle="stop">
      <formula1>'Categories'!A2:A</formula1>
    </dataValidation>
    <dataValidation type="list" sqref="E242" allowBlank="true" errorStyle="stop">
      <formula1>'Categories'!A2:A</formula1>
    </dataValidation>
    <dataValidation type="list" sqref="E243" allowBlank="true" errorStyle="stop">
      <formula1>'Categories'!A2:A</formula1>
    </dataValidation>
    <dataValidation type="list" sqref="E244" allowBlank="true" errorStyle="stop">
      <formula1>'Categories'!A2:A</formula1>
    </dataValidation>
    <dataValidation type="list" sqref="E245" allowBlank="true" errorStyle="stop">
      <formula1>'Categories'!A2:A</formula1>
    </dataValidation>
    <dataValidation type="list" sqref="E246" allowBlank="true" errorStyle="stop">
      <formula1>'Categories'!A2:A</formula1>
    </dataValidation>
    <dataValidation type="list" sqref="E247" allowBlank="true" errorStyle="stop">
      <formula1>'Categories'!A2:A</formula1>
    </dataValidation>
    <dataValidation type="list" sqref="E248" allowBlank="true" errorStyle="stop">
      <formula1>'Categories'!A2:A</formula1>
    </dataValidation>
    <dataValidation type="list" sqref="E249" allowBlank="true" errorStyle="stop">
      <formula1>'Categories'!A2:A</formula1>
    </dataValidation>
    <dataValidation type="list" sqref="E250" allowBlank="true" errorStyle="stop">
      <formula1>'Categories'!A2:A</formula1>
    </dataValidation>
    <dataValidation type="list" sqref="E251" allowBlank="true" errorStyle="stop">
      <formula1>'Categories'!A2:A</formula1>
    </dataValidation>
    <dataValidation type="list" sqref="E252" allowBlank="true" errorStyle="stop">
      <formula1>'Categories'!A2:A</formula1>
    </dataValidation>
    <dataValidation type="list" sqref="E253" allowBlank="true" errorStyle="stop">
      <formula1>'Categories'!A2:A</formula1>
    </dataValidation>
    <dataValidation type="list" sqref="E254" allowBlank="true" errorStyle="stop">
      <formula1>'Categories'!A2:A</formula1>
    </dataValidation>
    <dataValidation type="list" sqref="E255" allowBlank="true" errorStyle="stop">
      <formula1>'Categories'!A2:A</formula1>
    </dataValidation>
    <dataValidation type="list" sqref="E256" allowBlank="true" errorStyle="stop">
      <formula1>'Categories'!A2:A</formula1>
    </dataValidation>
    <dataValidation type="list" sqref="E257" allowBlank="true" errorStyle="stop">
      <formula1>'Categories'!A2:A</formula1>
    </dataValidation>
    <dataValidation type="list" sqref="E258" allowBlank="true" errorStyle="stop">
      <formula1>'Categories'!A2:A</formula1>
    </dataValidation>
    <dataValidation type="list" sqref="E259" allowBlank="true" errorStyle="stop">
      <formula1>'Categories'!A2:A</formula1>
    </dataValidation>
    <dataValidation type="list" sqref="E260" allowBlank="true" errorStyle="stop">
      <formula1>'Categories'!A2:A</formula1>
    </dataValidation>
    <dataValidation type="list" sqref="E261" allowBlank="true" errorStyle="stop">
      <formula1>'Categories'!A2:A</formula1>
    </dataValidation>
    <dataValidation type="list" sqref="E262" allowBlank="true" errorStyle="stop">
      <formula1>'Categories'!A2:A</formula1>
    </dataValidation>
    <dataValidation type="list" sqref="E263" allowBlank="true" errorStyle="stop">
      <formula1>'Categories'!A2:A</formula1>
    </dataValidation>
    <dataValidation type="list" sqref="E264" allowBlank="true" errorStyle="stop">
      <formula1>'Categories'!A2:A</formula1>
    </dataValidation>
    <dataValidation type="list" sqref="E265" allowBlank="true" errorStyle="stop">
      <formula1>'Categories'!A2:A</formula1>
    </dataValidation>
    <dataValidation type="list" sqref="E266" allowBlank="true" errorStyle="stop">
      <formula1>'Categories'!A2:A</formula1>
    </dataValidation>
    <dataValidation type="list" sqref="E267" allowBlank="true" errorStyle="stop">
      <formula1>'Categories'!A2:A</formula1>
    </dataValidation>
    <dataValidation type="list" sqref="E268" allowBlank="true" errorStyle="stop">
      <formula1>'Categories'!A2:A</formula1>
    </dataValidation>
    <dataValidation type="list" sqref="E269" allowBlank="true" errorStyle="stop">
      <formula1>'Categories'!A2:A</formula1>
    </dataValidation>
    <dataValidation type="list" sqref="E270" allowBlank="true" errorStyle="stop">
      <formula1>'Categories'!A2:A</formula1>
    </dataValidation>
    <dataValidation type="list" sqref="E271" allowBlank="true" errorStyle="stop">
      <formula1>'Categories'!A2:A</formula1>
    </dataValidation>
    <dataValidation type="list" sqref="E272" allowBlank="true" errorStyle="stop">
      <formula1>'Categories'!A2:A</formula1>
    </dataValidation>
    <dataValidation type="list" sqref="E273" allowBlank="true" errorStyle="stop">
      <formula1>'Categories'!A2:A</formula1>
    </dataValidation>
    <dataValidation type="list" sqref="E274" allowBlank="true" errorStyle="stop">
      <formula1>'Categories'!A2:A</formula1>
    </dataValidation>
    <dataValidation type="list" sqref="E275" allowBlank="true" errorStyle="stop">
      <formula1>'Categories'!A2:A</formula1>
    </dataValidation>
    <dataValidation type="list" sqref="E276" allowBlank="true" errorStyle="stop">
      <formula1>'Categories'!A2:A</formula1>
    </dataValidation>
    <dataValidation type="list" sqref="E277" allowBlank="true" errorStyle="stop">
      <formula1>'Categories'!A2:A</formula1>
    </dataValidation>
    <dataValidation type="list" sqref="E278" allowBlank="true" errorStyle="stop">
      <formula1>'Categories'!A2:A</formula1>
    </dataValidation>
    <dataValidation type="list" sqref="E279" allowBlank="true" errorStyle="stop">
      <formula1>'Categories'!A2:A</formula1>
    </dataValidation>
    <dataValidation type="list" sqref="E280" allowBlank="true" errorStyle="stop">
      <formula1>'Categories'!A2:A</formula1>
    </dataValidation>
    <dataValidation type="list" sqref="E281" allowBlank="true" errorStyle="stop">
      <formula1>'Categories'!A2:A</formula1>
    </dataValidation>
    <dataValidation type="list" sqref="E282" allowBlank="true" errorStyle="stop">
      <formula1>'Categories'!A2:A</formula1>
    </dataValidation>
    <dataValidation type="list" sqref="E283" allowBlank="true" errorStyle="stop">
      <formula1>'Categories'!A2:A</formula1>
    </dataValidation>
    <dataValidation type="list" sqref="E284" allowBlank="true" errorStyle="stop">
      <formula1>'Categories'!A2:A</formula1>
    </dataValidation>
    <dataValidation type="list" sqref="E285" allowBlank="true" errorStyle="stop">
      <formula1>'Categories'!A2:A</formula1>
    </dataValidation>
    <dataValidation type="list" sqref="E286" allowBlank="true" errorStyle="stop">
      <formula1>'Categories'!A2:A</formula1>
    </dataValidation>
    <dataValidation type="list" sqref="E287" allowBlank="true" errorStyle="stop">
      <formula1>'Categories'!A2:A</formula1>
    </dataValidation>
    <dataValidation type="list" sqref="E288" allowBlank="true" errorStyle="stop">
      <formula1>'Categories'!A2:A</formula1>
    </dataValidation>
    <dataValidation type="list" sqref="E289" allowBlank="true" errorStyle="stop">
      <formula1>'Categories'!A2:A</formula1>
    </dataValidation>
    <dataValidation type="list" sqref="E290" allowBlank="true" errorStyle="stop">
      <formula1>'Categories'!A2:A</formula1>
    </dataValidation>
    <dataValidation type="list" sqref="E291" allowBlank="true" errorStyle="stop">
      <formula1>'Categories'!A2:A</formula1>
    </dataValidation>
    <dataValidation type="list" sqref="E292" allowBlank="true" errorStyle="stop">
      <formula1>'Categories'!A2:A</formula1>
    </dataValidation>
    <dataValidation type="list" sqref="E293" allowBlank="true" errorStyle="stop">
      <formula1>'Categories'!A2:A</formula1>
    </dataValidation>
    <dataValidation type="list" sqref="E294" allowBlank="true" errorStyle="stop">
      <formula1>'Categories'!A2:A</formula1>
    </dataValidation>
    <dataValidation type="list" sqref="E295" allowBlank="true" errorStyle="stop">
      <formula1>'Categories'!A2:A</formula1>
    </dataValidation>
    <dataValidation type="list" sqref="E296" allowBlank="true" errorStyle="stop">
      <formula1>'Categories'!A2:A</formula1>
    </dataValidation>
    <dataValidation type="list" sqref="E297" allowBlank="true" errorStyle="stop">
      <formula1>'Categories'!A2:A</formula1>
    </dataValidation>
    <dataValidation type="list" sqref="E298" allowBlank="true" errorStyle="stop">
      <formula1>'Categories'!A2:A</formula1>
    </dataValidation>
    <dataValidation type="list" sqref="E299" allowBlank="true" errorStyle="stop">
      <formula1>'Categories'!A2:A</formula1>
    </dataValidation>
    <dataValidation type="list" sqref="E300" allowBlank="true" errorStyle="stop">
      <formula1>'Categories'!A2:A</formula1>
    </dataValidation>
    <dataValidation type="list" sqref="E301" allowBlank="true" errorStyle="stop">
      <formula1>'Categories'!A2:A</formula1>
    </dataValidation>
    <dataValidation type="list" sqref="E302" allowBlank="true" errorStyle="stop">
      <formula1>'Categories'!A2:A</formula1>
    </dataValidation>
    <dataValidation type="list" sqref="E303" allowBlank="true" errorStyle="stop">
      <formula1>'Categories'!A2:A</formula1>
    </dataValidation>
    <dataValidation type="list" sqref="E304" allowBlank="true" errorStyle="stop">
      <formula1>'Categories'!A2:A</formula1>
    </dataValidation>
    <dataValidation type="list" sqref="E305" allowBlank="true" errorStyle="stop">
      <formula1>'Categories'!A2:A</formula1>
    </dataValidation>
    <dataValidation type="list" sqref="E306" allowBlank="true" errorStyle="stop">
      <formula1>'Categories'!A2:A</formula1>
    </dataValidation>
    <dataValidation type="list" sqref="E307" allowBlank="true" errorStyle="stop">
      <formula1>'Categories'!A2:A</formula1>
    </dataValidation>
    <dataValidation type="list" sqref="E308" allowBlank="true" errorStyle="stop">
      <formula1>'Categories'!A2:A</formula1>
    </dataValidation>
    <dataValidation type="list" sqref="E309" allowBlank="true" errorStyle="stop">
      <formula1>'Categories'!A2:A</formula1>
    </dataValidation>
    <dataValidation type="list" sqref="E310" allowBlank="true" errorStyle="stop">
      <formula1>'Categories'!A2:A</formula1>
    </dataValidation>
    <dataValidation type="list" sqref="E311" allowBlank="true" errorStyle="stop">
      <formula1>'Categories'!A2:A</formula1>
    </dataValidation>
    <dataValidation type="list" sqref="E312" allowBlank="true" errorStyle="stop">
      <formula1>'Categories'!A2:A</formula1>
    </dataValidation>
    <dataValidation type="list" sqref="E313" allowBlank="true" errorStyle="stop">
      <formula1>'Categories'!A2:A</formula1>
    </dataValidation>
    <dataValidation type="list" sqref="E314" allowBlank="true" errorStyle="stop">
      <formula1>'Categories'!A2:A</formula1>
    </dataValidation>
    <dataValidation type="list" sqref="E315" allowBlank="true" errorStyle="stop">
      <formula1>'Categories'!A2:A</formula1>
    </dataValidation>
    <dataValidation type="list" sqref="E316" allowBlank="true" errorStyle="stop">
      <formula1>'Categories'!A2:A</formula1>
    </dataValidation>
    <dataValidation type="list" sqref="E317" allowBlank="true" errorStyle="stop">
      <formula1>'Categories'!A2:A</formula1>
    </dataValidation>
    <dataValidation type="list" sqref="E318" allowBlank="true" errorStyle="stop">
      <formula1>'Categories'!A2:A</formula1>
    </dataValidation>
    <dataValidation type="list" sqref="E319" allowBlank="true" errorStyle="stop">
      <formula1>'Categories'!A2:A</formula1>
    </dataValidation>
    <dataValidation type="list" sqref="E320" allowBlank="true" errorStyle="stop">
      <formula1>'Categories'!A2:A</formula1>
    </dataValidation>
    <dataValidation type="list" sqref="E321" allowBlank="true" errorStyle="stop">
      <formula1>'Categories'!A2:A</formula1>
    </dataValidation>
    <dataValidation type="list" sqref="E322" allowBlank="true" errorStyle="stop">
      <formula1>'Categories'!A2:A</formula1>
    </dataValidation>
    <dataValidation type="list" sqref="E323" allowBlank="true" errorStyle="stop">
      <formula1>'Categories'!A2:A</formula1>
    </dataValidation>
    <dataValidation type="list" sqref="E324" allowBlank="true" errorStyle="stop">
      <formula1>'Categories'!A2:A</formula1>
    </dataValidation>
    <dataValidation type="list" sqref="E325" allowBlank="true" errorStyle="stop">
      <formula1>'Categories'!A2:A</formula1>
    </dataValidation>
    <dataValidation type="list" sqref="E326" allowBlank="true" errorStyle="stop">
      <formula1>'Categories'!A2:A</formula1>
    </dataValidation>
    <dataValidation type="list" sqref="E327" allowBlank="true" errorStyle="stop">
      <formula1>'Categories'!A2:A</formula1>
    </dataValidation>
    <dataValidation type="list" sqref="E328" allowBlank="true" errorStyle="stop">
      <formula1>'Categories'!A2:A</formula1>
    </dataValidation>
    <dataValidation type="list" sqref="E329" allowBlank="true" errorStyle="stop">
      <formula1>'Categories'!A2:A</formula1>
    </dataValidation>
    <dataValidation type="list" sqref="E330" allowBlank="true" errorStyle="stop">
      <formula1>'Categories'!A2:A</formula1>
    </dataValidation>
    <dataValidation type="list" sqref="E331" allowBlank="true" errorStyle="stop">
      <formula1>'Categories'!A2:A</formula1>
    </dataValidation>
    <dataValidation type="list" sqref="E332" allowBlank="true" errorStyle="stop">
      <formula1>'Categories'!A2:A</formula1>
    </dataValidation>
    <dataValidation type="list" sqref="E333" allowBlank="true" errorStyle="stop">
      <formula1>'Categories'!A2:A</formula1>
    </dataValidation>
    <dataValidation type="list" sqref="E334" allowBlank="true" errorStyle="stop">
      <formula1>'Categories'!A2:A</formula1>
    </dataValidation>
    <dataValidation type="list" sqref="E335" allowBlank="true" errorStyle="stop">
      <formula1>'Categories'!A2:A</formula1>
    </dataValidation>
    <dataValidation type="list" sqref="E336" allowBlank="true" errorStyle="stop">
      <formula1>'Categories'!A2:A</formula1>
    </dataValidation>
    <dataValidation type="list" sqref="E337" allowBlank="true" errorStyle="stop">
      <formula1>'Categories'!A2:A</formula1>
    </dataValidation>
    <dataValidation type="list" sqref="E338" allowBlank="true" errorStyle="stop">
      <formula1>'Categories'!A2:A</formula1>
    </dataValidation>
    <dataValidation type="list" sqref="E339" allowBlank="true" errorStyle="stop">
      <formula1>'Categories'!A2:A</formula1>
    </dataValidation>
    <dataValidation type="list" sqref="E340" allowBlank="true" errorStyle="stop">
      <formula1>'Categories'!A2:A</formula1>
    </dataValidation>
    <dataValidation type="list" sqref="E341" allowBlank="true" errorStyle="stop">
      <formula1>'Categories'!A2:A</formula1>
    </dataValidation>
    <dataValidation type="list" sqref="E342" allowBlank="true" errorStyle="stop">
      <formula1>'Categories'!A2:A</formula1>
    </dataValidation>
    <dataValidation type="list" sqref="E343" allowBlank="true" errorStyle="stop">
      <formula1>'Categories'!A2:A</formula1>
    </dataValidation>
    <dataValidation type="list" sqref="E344" allowBlank="true" errorStyle="stop">
      <formula1>'Categories'!A2:A</formula1>
    </dataValidation>
    <dataValidation type="list" sqref="E345" allowBlank="true" errorStyle="stop">
      <formula1>'Categories'!A2:A</formula1>
    </dataValidation>
    <dataValidation type="list" sqref="E346" allowBlank="true" errorStyle="stop">
      <formula1>'Categories'!A2:A</formula1>
    </dataValidation>
    <dataValidation type="list" sqref="E347" allowBlank="true" errorStyle="stop">
      <formula1>'Categories'!A2:A</formula1>
    </dataValidation>
    <dataValidation type="list" sqref="E348" allowBlank="true" errorStyle="stop">
      <formula1>'Categories'!A2:A</formula1>
    </dataValidation>
    <dataValidation type="list" sqref="E349" allowBlank="true" errorStyle="stop">
      <formula1>'Categories'!A2:A</formula1>
    </dataValidation>
    <dataValidation type="list" sqref="E350" allowBlank="true" errorStyle="stop">
      <formula1>'Categories'!A2:A</formula1>
    </dataValidation>
    <dataValidation type="list" sqref="E351" allowBlank="true" errorStyle="stop">
      <formula1>'Categories'!A2:A</formula1>
    </dataValidation>
    <dataValidation type="list" sqref="E352" allowBlank="true" errorStyle="stop">
      <formula1>'Categories'!A2:A</formula1>
    </dataValidation>
    <dataValidation type="list" sqref="E353" allowBlank="true" errorStyle="stop">
      <formula1>'Categories'!A2:A</formula1>
    </dataValidation>
    <dataValidation type="list" sqref="E354" allowBlank="true" errorStyle="stop">
      <formula1>'Categories'!A2:A</formula1>
    </dataValidation>
    <dataValidation type="list" sqref="E355" allowBlank="true" errorStyle="stop">
      <formula1>'Categories'!A2:A</formula1>
    </dataValidation>
    <dataValidation type="list" sqref="E356" allowBlank="true" errorStyle="stop">
      <formula1>'Categories'!A2:A</formula1>
    </dataValidation>
    <dataValidation type="list" sqref="E357" allowBlank="true" errorStyle="stop">
      <formula1>'Categories'!A2:A</formula1>
    </dataValidation>
    <dataValidation type="list" sqref="E358" allowBlank="true" errorStyle="stop">
      <formula1>'Categories'!A2:A</formula1>
    </dataValidation>
    <dataValidation type="list" sqref="E359" allowBlank="true" errorStyle="stop">
      <formula1>'Categories'!A2:A</formula1>
    </dataValidation>
    <dataValidation type="list" sqref="E360" allowBlank="true" errorStyle="stop">
      <formula1>'Categories'!A2:A</formula1>
    </dataValidation>
    <dataValidation type="list" sqref="E361" allowBlank="true" errorStyle="stop">
      <formula1>'Categories'!A2:A</formula1>
    </dataValidation>
    <dataValidation type="list" sqref="E362" allowBlank="true" errorStyle="stop">
      <formula1>'Categories'!A2:A</formula1>
    </dataValidation>
    <dataValidation type="list" sqref="E363" allowBlank="true" errorStyle="stop">
      <formula1>'Categories'!A2:A</formula1>
    </dataValidation>
    <dataValidation type="list" sqref="E364" allowBlank="true" errorStyle="stop">
      <formula1>'Categories'!A2:A</formula1>
    </dataValidation>
    <dataValidation type="list" sqref="E365" allowBlank="true" errorStyle="stop">
      <formula1>'Categories'!A2:A</formula1>
    </dataValidation>
    <dataValidation type="list" sqref="E366" allowBlank="true" errorStyle="stop">
      <formula1>'Categories'!A2:A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51.2734375" customWidth="true"/>
    <col min="2" max="2" width="17.7109375" customWidth="true"/>
  </cols>
  <sheetData>
    <row r="1">
      <c r="A1" t="s" s="13">
        <v>173</v>
      </c>
      <c r="B1" t="s" s="13">
        <v>93</v>
      </c>
      <c r="C1" t="s" s="21">
        <v>3</v>
      </c>
      <c r="D1" t="s" s="13">
        <v>172</v>
      </c>
      <c r="E1" t="s" s="13">
        <v>5</v>
      </c>
    </row>
    <row r="2">
      <c r="A2" s="22"/>
      <c r="B2" s="22"/>
      <c r="C2" s="22"/>
      <c r="D2" s="22"/>
      <c r="E2" s="22"/>
    </row>
    <row r="3">
      <c r="A3" s="1"/>
      <c r="B3" s="1"/>
      <c r="C3" s="1"/>
      <c r="D3" s="22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</sheetData>
  <dataValidations count="4">
    <dataValidation type="list" sqref="E2" allowBlank="true" errorStyle="stop">
      <formula1>'Categories'!A2:A</formula1>
    </dataValidation>
    <dataValidation type="list" sqref="E3" allowBlank="true" errorStyle="stop">
      <formula1>'Categories'!A2:A</formula1>
    </dataValidation>
    <dataValidation type="list" sqref="E4" allowBlank="true" errorStyle="stop">
      <formula1>'Categories'!A2:A</formula1>
    </dataValidation>
    <dataValidation type="list" sqref="E5" allowBlank="true" errorStyle="stop">
      <formula1>'Categories'!A2:A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S18"/>
  <sheetViews>
    <sheetView workbookViewId="0"/>
  </sheetViews>
  <sheetFormatPr defaultRowHeight="15.0"/>
  <cols>
    <col min="1" max="1" width="24.70703125" customWidth="true"/>
    <col min="3" max="3" width="10.140625" customWidth="true"/>
    <col min="4" max="4" width="10.140625" customWidth="true"/>
    <col min="5" max="5" width="10.140625" customWidth="true"/>
    <col min="6" max="6" width="10.140625" customWidth="true"/>
    <col min="2" max="2" width="10.140625" customWidth="true"/>
    <col min="7" max="7" width="10.140625" customWidth="true"/>
  </cols>
  <sheetData>
    <row r="1">
      <c r="A1" t="s" s="32">
        <v>174</v>
      </c>
      <c r="B1" t="n" s="33">
        <f>IF(MIN('Past transactions'!B:B)=0,"",MIN('Past transactions'!B:B)-WEEKDAY(min('Past transactions'!B:B),2)+1)</f>
        <v>45810.0</v>
      </c>
      <c r="C1" t="n" s="33">
        <f>IF(ISBLANK(B1),"",IF(B1+7&gt;MAX('Past transactions'!$B:$B),"",B1+7))</f>
        <v>45817.0</v>
      </c>
      <c r="D1" t="n" s="33">
        <f>IF(ISBLANK(C1),"",IF(C1+7&gt;MAX('Past transactions'!$B:$B),"",C1+7))</f>
        <v>45824.0</v>
      </c>
      <c r="E1" t="n" s="33">
        <f>IF(ISBLANK(D1),"",IF(D1+7&gt;MAX('Past transactions'!$B:$B),"",D1+7))</f>
        <v>45831.0</v>
      </c>
      <c r="F1" s="32">
        <f>IF(ISBLANK(E1),"",IF(E1+7&gt;MAX('Past transactions'!$B:$B),"",E1+7))</f>
      </c>
      <c r="G1" s="32">
        <f>IF(ISBLANK(F1),"",IF(F1+7&gt;MAX('Past transactions'!$B:$B),"",F1+7))</f>
      </c>
      <c r="H1" s="32">
        <f>IF(ISBLANK(G1),"",IF(G1+7&gt;MAX('Past transactions'!$B:$B),"",G1+7))</f>
      </c>
      <c r="I1" s="32">
        <f>IF(ISBLANK(H1),"",IF(H1+7&gt;MAX('Past transactions'!$B:$B),"",H1+7))</f>
      </c>
      <c r="J1" s="32">
        <f>IF(ISBLANK(I1),"",IF(I1+7&gt;MAX('Past transactions'!$B:$B),"",I1+7))</f>
      </c>
      <c r="K1" s="32">
        <f>IF(ISBLANK(J1),"",IF(J1+7&gt;MAX('Past transactions'!$B:$B),"",J1+7))</f>
      </c>
      <c r="L1" s="32">
        <f>IF(ISBLANK(K1),"",IF(K1+7&gt;MAX('Past transactions'!$B:$B),"",K1+7))</f>
      </c>
      <c r="M1" s="32">
        <f>IF(ISBLANK(L1),"",IF(L1+7&gt;MAX('Past transactions'!$B:$B),"",L1+7))</f>
      </c>
      <c r="N1" s="32">
        <f>IF(ISBLANK(M1),"",IF(M1+7&gt;MAX('Past transactions'!$B:$B),"",M1+7))</f>
      </c>
      <c r="O1" s="32">
        <f>IF(ISBLANK(N1),"",IF(N1+7&gt;MAX('Past transactions'!$B:$B),"",N1+7))</f>
      </c>
      <c r="P1" s="32">
        <f>IF(ISBLANK(O1),"",IF(O1+7&gt;MAX('Past transactions'!$B:$B),"",O1+7))</f>
      </c>
      <c r="Q1" s="32">
        <f>IF(ISBLANK(P1),"",IF(P1+7&gt;MAX('Past transactions'!$B:$B),"",P1+7))</f>
      </c>
      <c r="R1" s="32">
        <f>IF(ISBLANK(Q1),"",IF(Q1+7&gt;MAX('Past transactions'!$B:$B),"",Q1+7))</f>
      </c>
      <c r="S1" s="32">
        <f>IF(ISBLANK(R1),"",IF(R1+7&gt;MAX('Past transactions'!$B:$B),"",R1+7))</f>
      </c>
    </row>
    <row r="2">
      <c r="A2" t="s" s="13">
        <v>175</v>
      </c>
      <c r="B2" s="34"/>
      <c r="C2" t="n" s="35">
        <f>IF(ISBLANK(C$1),"",B18)</f>
        <v>-16710.99</v>
      </c>
      <c r="D2" t="n" s="35">
        <f>IF(ISBLANK(D$1),"",C18)</f>
        <v>-10554.89</v>
      </c>
      <c r="E2" t="n" s="35">
        <f>IF(ISBLANK(E$1),"",D18)</f>
        <v>-22995.75</v>
      </c>
      <c r="F2" s="22">
        <f>IF(ISBLANK(F$1),"",E18)</f>
      </c>
      <c r="G2" s="22">
        <f>IF(ISBLANK(G$1),"",F18)</f>
      </c>
      <c r="H2" s="22">
        <f>IF(ISBLANK(H$1),"",G18)</f>
      </c>
      <c r="I2" s="22">
        <f>IF(ISBLANK(I$1),"",H18)</f>
      </c>
      <c r="J2" s="22">
        <f>IF(ISBLANK(J$1),"",I18)</f>
      </c>
      <c r="K2" s="22">
        <f>IF(ISBLANK(K$1),"",J18)</f>
      </c>
      <c r="L2" s="22">
        <f>IF(ISBLANK(L$1),"",K18)</f>
      </c>
      <c r="M2" s="22">
        <f>IF(ISBLANK(M$1),"",L18)</f>
      </c>
      <c r="N2" s="22">
        <f>IF(ISBLANK(N$1),"",M18)</f>
      </c>
      <c r="O2" s="22">
        <f>IF(ISBLANK(O$1),"",N18)</f>
      </c>
      <c r="P2" s="22">
        <f>IF(ISBLANK(P$1),"",O18)</f>
      </c>
      <c r="Q2" s="22">
        <f>IF(ISBLANK(Q$1),"",P18)</f>
      </c>
      <c r="R2" s="22">
        <f>IF(ISBLANK(R$1),"",Q18)</f>
      </c>
      <c r="S2" s="22">
        <f>IF(ISBLANK(S$1),"",R18)</f>
      </c>
    </row>
    <row r="3">
      <c r="A3" t="s" s="36">
        <v>10</v>
      </c>
      <c r="B3" t="n" s="25">
        <f>-IF(ISBLANK(B$1),"",IF(B$1+7&gt;MAX('Past transactions'!$B:$B),SUMIFS('Past transactions'!$C:$C,'Past transactions'!$E:$E,$A3,'Past transactions'!$B:$B,"&gt;="&amp;B$1),SUMIFS('Past transactions'!$C:$C,'Past transactions'!$E:$E,$A3,'Past transactions'!$B:$B,"&lt;"&amp;C$1,'Past transactions'!$B:$B,"&gt;="&amp;B$1)))</f>
        <v>7870.84</v>
      </c>
      <c r="C3" t="n" s="25">
        <f>-IF(ISBLANK(C$1),"",IF(C$1+7&gt;MAX('Past transactions'!$B:$B),SUMIFS('Past transactions'!$C:$C,'Past transactions'!$E:$E,$A3,'Past transactions'!$B:$B,"&gt;="&amp;C$1),SUMIFS('Past transactions'!$C:$C,'Past transactions'!$E:$E,$A3,'Past transactions'!$B:$B,"&lt;"&amp;D$1,'Past transactions'!$B:$B,"&gt;="&amp;C$1)))</f>
        <v>12679.67</v>
      </c>
      <c r="D3" t="n" s="25">
        <f>-IF(ISBLANK(D$1),"",IF(D$1+7&gt;MAX('Past transactions'!$B:$B),SUMIFS('Past transactions'!$C:$C,'Past transactions'!$E:$E,$A3,'Past transactions'!$B:$B,"&gt;="&amp;D$1),SUMIFS('Past transactions'!$C:$C,'Past transactions'!$E:$E,$A3,'Past transactions'!$B:$B,"&lt;"&amp;E$1,'Past transactions'!$B:$B,"&gt;="&amp;D$1)))</f>
        <v>8725.48</v>
      </c>
      <c r="E3" t="n" s="25">
        <f>-IF(ISBLANK(E$1),"",IF(E$1+7&gt;MAX('Past transactions'!$B:$B),SUMIFS('Past transactions'!$C:$C,'Past transactions'!$E:$E,$A3,'Past transactions'!$B:$B,"&gt;="&amp;E$1),SUMIFS('Past transactions'!$C:$C,'Past transactions'!$E:$E,$A3,'Past transactions'!$B:$B,"&lt;"&amp;F$1,'Past transactions'!$B:$B,"&gt;="&amp;E$1)))</f>
        <v>7620.8</v>
      </c>
      <c r="F3" t="n" s="29">
        <f>-IF(ISBLANK(F$1),"",IF(F$1+7&gt;MAX('Past transactions'!$B:$B),SUMIFS('Past transactions'!$C:$C,'Past transactions'!$E:$E,$A3,'Past transactions'!$B:$B,"&gt;="&amp;F$1),SUMIFS('Past transactions'!$C:$C,'Past transactions'!$E:$E,$A3,'Past transactions'!$B:$B,"&lt;"&amp;G$1,'Past transactions'!$B:$B,"&gt;="&amp;F$1)))</f>
        <v>0.0</v>
      </c>
      <c r="G3" t="n" s="29">
        <f>-IF(ISBLANK(G$1),"",IF(G$1+7&gt;MAX('Past transactions'!$B:$B),SUMIFS('Past transactions'!$C:$C,'Past transactions'!$E:$E,$A3,'Past transactions'!$B:$B,"&gt;="&amp;G$1),SUMIFS('Past transactions'!$C:$C,'Past transactions'!$E:$E,$A3,'Past transactions'!$B:$B,"&lt;"&amp;H$1,'Past transactions'!$B:$B,"&gt;="&amp;G$1)))</f>
        <v>0.0</v>
      </c>
      <c r="H3" t="n" s="29">
        <f>-IF(ISBLANK(H$1),"",IF(H$1+7&gt;MAX('Past transactions'!$B:$B),SUMIFS('Past transactions'!$C:$C,'Past transactions'!$E:$E,$A3,'Past transactions'!$B:$B,"&gt;="&amp;H$1),SUMIFS('Past transactions'!$C:$C,'Past transactions'!$E:$E,$A3,'Past transactions'!$B:$B,"&lt;"&amp;I$1,'Past transactions'!$B:$B,"&gt;="&amp;H$1)))</f>
        <v>0.0</v>
      </c>
      <c r="I3" t="n" s="29">
        <f>-IF(ISBLANK(I$1),"",IF(I$1+7&gt;MAX('Past transactions'!$B:$B),SUMIFS('Past transactions'!$C:$C,'Past transactions'!$E:$E,$A3,'Past transactions'!$B:$B,"&gt;="&amp;I$1),SUMIFS('Past transactions'!$C:$C,'Past transactions'!$E:$E,$A3,'Past transactions'!$B:$B,"&lt;"&amp;J$1,'Past transactions'!$B:$B,"&gt;="&amp;I$1)))</f>
        <v>0.0</v>
      </c>
      <c r="J3" t="n" s="29">
        <f>-IF(ISBLANK(J$1),"",IF(J$1+7&gt;MAX('Past transactions'!$B:$B),SUMIFS('Past transactions'!$C:$C,'Past transactions'!$E:$E,$A3,'Past transactions'!$B:$B,"&gt;="&amp;J$1),SUMIFS('Past transactions'!$C:$C,'Past transactions'!$E:$E,$A3,'Past transactions'!$B:$B,"&lt;"&amp;K$1,'Past transactions'!$B:$B,"&gt;="&amp;J$1)))</f>
        <v>0.0</v>
      </c>
      <c r="K3" t="n" s="29">
        <f>-IF(ISBLANK(K$1),"",IF(K$1+7&gt;MAX('Past transactions'!$B:$B),SUMIFS('Past transactions'!$C:$C,'Past transactions'!$E:$E,$A3,'Past transactions'!$B:$B,"&gt;="&amp;K$1),SUMIFS('Past transactions'!$C:$C,'Past transactions'!$E:$E,$A3,'Past transactions'!$B:$B,"&lt;"&amp;L$1,'Past transactions'!$B:$B,"&gt;="&amp;K$1)))</f>
        <v>0.0</v>
      </c>
      <c r="L3" t="n" s="29">
        <f>-IF(ISBLANK(L$1),"",IF(L$1+7&gt;MAX('Past transactions'!$B:$B),SUMIFS('Past transactions'!$C:$C,'Past transactions'!$E:$E,$A3,'Past transactions'!$B:$B,"&gt;="&amp;L$1),SUMIFS('Past transactions'!$C:$C,'Past transactions'!$E:$E,$A3,'Past transactions'!$B:$B,"&lt;"&amp;M$1,'Past transactions'!$B:$B,"&gt;="&amp;L$1)))</f>
        <v>0.0</v>
      </c>
      <c r="M3" t="n" s="29">
        <f>-IF(ISBLANK(M$1),"",IF(M$1+7&gt;MAX('Past transactions'!$B:$B),SUMIFS('Past transactions'!$C:$C,'Past transactions'!$E:$E,$A3,'Past transactions'!$B:$B,"&gt;="&amp;M$1),SUMIFS('Past transactions'!$C:$C,'Past transactions'!$E:$E,$A3,'Past transactions'!$B:$B,"&lt;"&amp;N$1,'Past transactions'!$B:$B,"&gt;="&amp;M$1)))</f>
        <v>0.0</v>
      </c>
      <c r="N3" t="n" s="29">
        <f>-IF(ISBLANK(N$1),"",IF(N$1+7&gt;MAX('Past transactions'!$B:$B),SUMIFS('Past transactions'!$C:$C,'Past transactions'!$E:$E,$A3,'Past transactions'!$B:$B,"&gt;="&amp;N$1),SUMIFS('Past transactions'!$C:$C,'Past transactions'!$E:$E,$A3,'Past transactions'!$B:$B,"&lt;"&amp;O$1,'Past transactions'!$B:$B,"&gt;="&amp;N$1)))</f>
        <v>0.0</v>
      </c>
      <c r="O3" t="n" s="29">
        <f>-IF(ISBLANK(O$1),"",IF(O$1+7&gt;MAX('Past transactions'!$B:$B),SUMIFS('Past transactions'!$C:$C,'Past transactions'!$E:$E,$A3,'Past transactions'!$B:$B,"&gt;="&amp;O$1),SUMIFS('Past transactions'!$C:$C,'Past transactions'!$E:$E,$A3,'Past transactions'!$B:$B,"&lt;"&amp;P$1,'Past transactions'!$B:$B,"&gt;="&amp;O$1)))</f>
        <v>0.0</v>
      </c>
      <c r="P3" t="n" s="29">
        <f>-IF(ISBLANK(P$1),"",IF(P$1+7&gt;MAX('Past transactions'!$B:$B),SUMIFS('Past transactions'!$C:$C,'Past transactions'!$E:$E,$A3,'Past transactions'!$B:$B,"&gt;="&amp;P$1),SUMIFS('Past transactions'!$C:$C,'Past transactions'!$E:$E,$A3,'Past transactions'!$B:$B,"&lt;"&amp;Q$1,'Past transactions'!$B:$B,"&gt;="&amp;P$1)))</f>
        <v>0.0</v>
      </c>
      <c r="Q3" t="n" s="29">
        <f>-IF(ISBLANK(Q$1),"",IF(Q$1+7&gt;MAX('Past transactions'!$B:$B),SUMIFS('Past transactions'!$C:$C,'Past transactions'!$E:$E,$A3,'Past transactions'!$B:$B,"&gt;="&amp;Q$1),SUMIFS('Past transactions'!$C:$C,'Past transactions'!$E:$E,$A3,'Past transactions'!$B:$B,"&lt;"&amp;R$1,'Past transactions'!$B:$B,"&gt;="&amp;Q$1)))</f>
        <v>0.0</v>
      </c>
      <c r="R3" t="n" s="29">
        <f>-IF(ISBLANK(R$1),"",IF(R$1+7&gt;MAX('Past transactions'!$B:$B),SUMIFS('Past transactions'!$C:$C,'Past transactions'!$E:$E,$A3,'Past transactions'!$B:$B,"&gt;="&amp;R$1),SUMIFS('Past transactions'!$C:$C,'Past transactions'!$E:$E,$A3,'Past transactions'!$B:$B,"&lt;"&amp;S$1,'Past transactions'!$B:$B,"&gt;="&amp;R$1)))</f>
        <v>0.0</v>
      </c>
      <c r="S3" t="n" s="29">
        <f>-IF(ISBLANK(S$1),"",IF(S$1+7&gt;MAX('Past transactions'!$B:$B),SUMIFS('Past transactions'!$C:$C,'Past transactions'!$E:$E,$A3,'Past transactions'!$B:$B,"&gt;="&amp;S$1),SUMIFS('Past transactions'!$C:$C,'Past transactions'!$E:$E,$A3,'Past transactions'!$B:$B,"&lt;"&amp;#REF!,'Past transactions'!$B:$B,"&gt;="&amp;S$1)))</f>
        <v>0.0</v>
      </c>
    </row>
    <row r="4">
      <c r="A4" t="s" s="1">
        <v>90</v>
      </c>
      <c r="B4" t="n" s="29">
        <f>-IF(ISBLANK(B$1),"",IF(B$1+7&gt;MAX('Past transactions'!$B:$B),SUMIFS('Past transactions'!$C:$C,'Past transactions'!$E:$E,$A4,'Past transactions'!$B:$B,"&gt;="&amp;B$1),SUMIFS('Past transactions'!$C:$C,'Past transactions'!$E:$E,$A4,'Past transactions'!$B:$B,"&lt;"&amp;C$1,'Past transactions'!$B:$B,"&gt;="&amp;B$1)))</f>
        <v>0.0</v>
      </c>
      <c r="C4" t="n" s="29">
        <f>-IF(ISBLANK(C$1),"",IF(C$1+7&gt;MAX('Past transactions'!$B:$B),SUMIFS('Past transactions'!$C:$C,'Past transactions'!$E:$E,$A4,'Past transactions'!$B:$B,"&gt;="&amp;C$1),SUMIFS('Past transactions'!$C:$C,'Past transactions'!$E:$E,$A4,'Past transactions'!$B:$B,"&lt;"&amp;D$1,'Past transactions'!$B:$B,"&gt;="&amp;C$1)))</f>
        <v>0.0</v>
      </c>
      <c r="D4" t="n" s="29">
        <f>-IF(ISBLANK(D$1),"",IF(D$1+7&gt;MAX('Past transactions'!$B:$B),SUMIFS('Past transactions'!$C:$C,'Past transactions'!$E:$E,$A4,'Past transactions'!$B:$B,"&gt;="&amp;D$1),SUMIFS('Past transactions'!$C:$C,'Past transactions'!$E:$E,$A4,'Past transactions'!$B:$B,"&lt;"&amp;E$1,'Past transactions'!$B:$B,"&gt;="&amp;D$1)))</f>
        <v>0.0</v>
      </c>
      <c r="E4" t="n" s="29">
        <f>-IF(ISBLANK(E$1),"",IF(E$1+7&gt;MAX('Past transactions'!$B:$B),SUMIFS('Past transactions'!$C:$C,'Past transactions'!$E:$E,$A4,'Past transactions'!$B:$B,"&gt;="&amp;E$1),SUMIFS('Past transactions'!$C:$C,'Past transactions'!$E:$E,$A4,'Past transactions'!$B:$B,"&lt;"&amp;F$1,'Past transactions'!$B:$B,"&gt;="&amp;E$1)))</f>
        <v>7390.0</v>
      </c>
      <c r="F4" t="n" s="29">
        <f>-IF(ISBLANK(F$1),"",IF(F$1+7&gt;MAX('Past transactions'!$B:$B),SUMIFS('Past transactions'!$C:$C,'Past transactions'!$E:$E,$A4,'Past transactions'!$B:$B,"&gt;="&amp;F$1),SUMIFS('Past transactions'!$C:$C,'Past transactions'!$E:$E,$A4,'Past transactions'!$B:$B,"&lt;"&amp;G$1,'Past transactions'!$B:$B,"&gt;="&amp;F$1)))</f>
        <v>0.0</v>
      </c>
      <c r="G4" t="n" s="29">
        <f>-IF(ISBLANK(G$1),"",IF(G$1+7&gt;MAX('Past transactions'!$B:$B),SUMIFS('Past transactions'!$C:$C,'Past transactions'!$E:$E,$A4,'Past transactions'!$B:$B,"&gt;="&amp;G$1),SUMIFS('Past transactions'!$C:$C,'Past transactions'!$E:$E,$A4,'Past transactions'!$B:$B,"&lt;"&amp;H$1,'Past transactions'!$B:$B,"&gt;="&amp;G$1)))</f>
        <v>0.0</v>
      </c>
      <c r="H4" t="n" s="29">
        <f>-IF(ISBLANK(H$1),"",IF(H$1+7&gt;MAX('Past transactions'!$B:$B),SUMIFS('Past transactions'!$C:$C,'Past transactions'!$E:$E,$A4,'Past transactions'!$B:$B,"&gt;="&amp;H$1),SUMIFS('Past transactions'!$C:$C,'Past transactions'!$E:$E,$A4,'Past transactions'!$B:$B,"&lt;"&amp;I$1,'Past transactions'!$B:$B,"&gt;="&amp;H$1)))</f>
        <v>0.0</v>
      </c>
      <c r="I4" t="n" s="29">
        <f>-IF(ISBLANK(I$1),"",IF(I$1+7&gt;MAX('Past transactions'!$B:$B),SUMIFS('Past transactions'!$C:$C,'Past transactions'!$E:$E,$A4,'Past transactions'!$B:$B,"&gt;="&amp;I$1),SUMIFS('Past transactions'!$C:$C,'Past transactions'!$E:$E,$A4,'Past transactions'!$B:$B,"&lt;"&amp;J$1,'Past transactions'!$B:$B,"&gt;="&amp;I$1)))</f>
        <v>0.0</v>
      </c>
      <c r="J4" t="n" s="29">
        <f>-IF(ISBLANK(J$1),"",IF(J$1+7&gt;MAX('Past transactions'!$B:$B),SUMIFS('Past transactions'!$C:$C,'Past transactions'!$E:$E,$A4,'Past transactions'!$B:$B,"&gt;="&amp;J$1),SUMIFS('Past transactions'!$C:$C,'Past transactions'!$E:$E,$A4,'Past transactions'!$B:$B,"&lt;"&amp;K$1,'Past transactions'!$B:$B,"&gt;="&amp;J$1)))</f>
        <v>0.0</v>
      </c>
      <c r="K4" t="n" s="29">
        <f>-IF(ISBLANK(K$1),"",IF(K$1+7&gt;MAX('Past transactions'!$B:$B),SUMIFS('Past transactions'!$C:$C,'Past transactions'!$E:$E,$A4,'Past transactions'!$B:$B,"&gt;="&amp;K$1),SUMIFS('Past transactions'!$C:$C,'Past transactions'!$E:$E,$A4,'Past transactions'!$B:$B,"&lt;"&amp;L$1,'Past transactions'!$B:$B,"&gt;="&amp;K$1)))</f>
        <v>0.0</v>
      </c>
      <c r="L4" t="n" s="29">
        <f>-IF(ISBLANK(L$1),"",IF(L$1+7&gt;MAX('Past transactions'!$B:$B),SUMIFS('Past transactions'!$C:$C,'Past transactions'!$E:$E,$A4,'Past transactions'!$B:$B,"&gt;="&amp;L$1),SUMIFS('Past transactions'!$C:$C,'Past transactions'!$E:$E,$A4,'Past transactions'!$B:$B,"&lt;"&amp;M$1,'Past transactions'!$B:$B,"&gt;="&amp;L$1)))</f>
        <v>0.0</v>
      </c>
      <c r="M4" t="n" s="29">
        <f>-IF(ISBLANK(M$1),"",IF(M$1+7&gt;MAX('Past transactions'!$B:$B),SUMIFS('Past transactions'!$C:$C,'Past transactions'!$E:$E,$A4,'Past transactions'!$B:$B,"&gt;="&amp;M$1),SUMIFS('Past transactions'!$C:$C,'Past transactions'!$E:$E,$A4,'Past transactions'!$B:$B,"&lt;"&amp;N$1,'Past transactions'!$B:$B,"&gt;="&amp;M$1)))</f>
        <v>0.0</v>
      </c>
      <c r="N4" t="n" s="29">
        <f>-IF(ISBLANK(N$1),"",IF(N$1+7&gt;MAX('Past transactions'!$B:$B),SUMIFS('Past transactions'!$C:$C,'Past transactions'!$E:$E,$A4,'Past transactions'!$B:$B,"&gt;="&amp;N$1),SUMIFS('Past transactions'!$C:$C,'Past transactions'!$E:$E,$A4,'Past transactions'!$B:$B,"&lt;"&amp;O$1,'Past transactions'!$B:$B,"&gt;="&amp;N$1)))</f>
        <v>0.0</v>
      </c>
      <c r="O4" t="n" s="29">
        <f>-IF(ISBLANK(O$1),"",IF(O$1+7&gt;MAX('Past transactions'!$B:$B),SUMIFS('Past transactions'!$C:$C,'Past transactions'!$E:$E,$A4,'Past transactions'!$B:$B,"&gt;="&amp;O$1),SUMIFS('Past transactions'!$C:$C,'Past transactions'!$E:$E,$A4,'Past transactions'!$B:$B,"&lt;"&amp;P$1,'Past transactions'!$B:$B,"&gt;="&amp;O$1)))</f>
        <v>0.0</v>
      </c>
      <c r="P4" t="n" s="29">
        <f>-IF(ISBLANK(P$1),"",IF(P$1+7&gt;MAX('Past transactions'!$B:$B),SUMIFS('Past transactions'!$C:$C,'Past transactions'!$E:$E,$A4,'Past transactions'!$B:$B,"&gt;="&amp;P$1),SUMIFS('Past transactions'!$C:$C,'Past transactions'!$E:$E,$A4,'Past transactions'!$B:$B,"&lt;"&amp;Q$1,'Past transactions'!$B:$B,"&gt;="&amp;P$1)))</f>
        <v>0.0</v>
      </c>
      <c r="Q4" t="n" s="29">
        <f>-IF(ISBLANK(Q$1),"",IF(Q$1+7&gt;MAX('Past transactions'!$B:$B),SUMIFS('Past transactions'!$C:$C,'Past transactions'!$E:$E,$A4,'Past transactions'!$B:$B,"&gt;="&amp;Q$1),SUMIFS('Past transactions'!$C:$C,'Past transactions'!$E:$E,$A4,'Past transactions'!$B:$B,"&lt;"&amp;R$1,'Past transactions'!$B:$B,"&gt;="&amp;Q$1)))</f>
        <v>0.0</v>
      </c>
      <c r="R4" t="n" s="29">
        <f>-IF(ISBLANK(R$1),"",IF(R$1+7&gt;MAX('Past transactions'!$B:$B),SUMIFS('Past transactions'!$C:$C,'Past transactions'!$E:$E,$A4,'Past transactions'!$B:$B,"&gt;="&amp;R$1),SUMIFS('Past transactions'!$C:$C,'Past transactions'!$E:$E,$A4,'Past transactions'!$B:$B,"&lt;"&amp;S$1,'Past transactions'!$B:$B,"&gt;="&amp;R$1)))</f>
        <v>0.0</v>
      </c>
      <c r="S4" t="n" s="29">
        <f>-IF(ISBLANK(S$1),"",IF(S$1+7&gt;MAX('Past transactions'!$B:$B),SUMIFS('Past transactions'!$C:$C,'Past transactions'!$E:$E,$A4,'Past transactions'!$B:$B,"&gt;="&amp;S$1),SUMIFS('Past transactions'!$C:$C,'Past transactions'!$E:$E,$A4,'Past transactions'!$B:$B,"&lt;"&amp;#REF!,'Past transactions'!$B:$B,"&gt;="&amp;S$1)))</f>
        <v>0.0</v>
      </c>
    </row>
    <row r="5">
      <c r="A5" t="s" s="1">
        <v>49</v>
      </c>
      <c r="B5" t="n" s="29">
        <f>IF(ISBLANK(B$1),"",IF(B$1+7&gt;MAX('Past transactions'!$B:$B),SUMIFS('Past transactions'!$C:$C,'Past transactions'!$E:$E,$A5,'Past transactions'!$B:$B,"&gt;="&amp;B$1),SUMIFS('Past transactions'!$C:$C,'Past transactions'!$E:$E,$A5,'Past transactions'!$B:$B,"&lt;"&amp;C$1,'Past transactions'!$B:$B,"&gt;="&amp;B$1)))</f>
        <v>0.0</v>
      </c>
      <c r="C5" t="n" s="29">
        <f>IF(ISBLANK(C$1),"",IF(C$1+7&gt;MAX('Past transactions'!$B:$B),SUMIFS('Past transactions'!$C:$C,'Past transactions'!$E:$E,$A5,'Past transactions'!$B:$B,"&gt;="&amp;C$1),SUMIFS('Past transactions'!$C:$C,'Past transactions'!$E:$E,$A5,'Past transactions'!$B:$B,"&lt;"&amp;D$1,'Past transactions'!$B:$B,"&gt;="&amp;C$1)))</f>
        <v>-608.38</v>
      </c>
      <c r="D5" t="n" s="29">
        <f>IF(ISBLANK(D$1),"",IF(D$1+7&gt;MAX('Past transactions'!$B:$B),SUMIFS('Past transactions'!$C:$C,'Past transactions'!$E:$E,$A5,'Past transactions'!$B:$B,"&gt;="&amp;D$1),SUMIFS('Past transactions'!$C:$C,'Past transactions'!$E:$E,$A5,'Past transactions'!$B:$B,"&lt;"&amp;E$1,'Past transactions'!$B:$B,"&gt;="&amp;D$1)))</f>
        <v>0.0</v>
      </c>
      <c r="E5" t="n" s="29">
        <f>IF(ISBLANK(E$1),"",IF(E$1+7&gt;MAX('Past transactions'!$B:$B),SUMIFS('Past transactions'!$C:$C,'Past transactions'!$E:$E,$A5,'Past transactions'!$B:$B,"&gt;="&amp;E$1),SUMIFS('Past transactions'!$C:$C,'Past transactions'!$E:$E,$A5,'Past transactions'!$B:$B,"&lt;"&amp;F$1,'Past transactions'!$B:$B,"&gt;="&amp;E$1)))</f>
        <v>0.0</v>
      </c>
      <c r="F5" s="22">
        <f>IF(ISBLANK(F$1),"",IF(F$1+7&gt;MAX('Past transactions'!$B:$B),SUMIFS('Past transactions'!$C:$C,'Past transactions'!$E:$E,$A5,'Past transactions'!$B:$B,"&gt;="&amp;F$1),SUMIFS('Past transactions'!$C:$C,'Past transactions'!$E:$E,$A5,'Past transactions'!$B:$B,"&lt;"&amp;G$1,'Past transactions'!$B:$B,"&gt;="&amp;F$1)))</f>
      </c>
      <c r="G5" s="22">
        <f>IF(ISBLANK(G$1),"",IF(G$1+7&gt;MAX('Past transactions'!$B:$B),SUMIFS('Past transactions'!$C:$C,'Past transactions'!$E:$E,$A5,'Past transactions'!$B:$B,"&gt;="&amp;G$1),SUMIFS('Past transactions'!$C:$C,'Past transactions'!$E:$E,$A5,'Past transactions'!$B:$B,"&lt;"&amp;H$1,'Past transactions'!$B:$B,"&gt;="&amp;G$1)))</f>
      </c>
      <c r="H5" s="22">
        <f>IF(ISBLANK(H$1),"",IF(H$1+7&gt;MAX('Past transactions'!$B:$B),SUMIFS('Past transactions'!$C:$C,'Past transactions'!$E:$E,$A5,'Past transactions'!$B:$B,"&gt;="&amp;H$1),SUMIFS('Past transactions'!$C:$C,'Past transactions'!$E:$E,$A5,'Past transactions'!$B:$B,"&lt;"&amp;I$1,'Past transactions'!$B:$B,"&gt;="&amp;H$1)))</f>
      </c>
      <c r="I5" s="22">
        <f>IF(ISBLANK(I$1),"",IF(I$1+7&gt;MAX('Past transactions'!$B:$B),SUMIFS('Past transactions'!$C:$C,'Past transactions'!$E:$E,$A5,'Past transactions'!$B:$B,"&gt;="&amp;I$1),SUMIFS('Past transactions'!$C:$C,'Past transactions'!$E:$E,$A5,'Past transactions'!$B:$B,"&lt;"&amp;J$1,'Past transactions'!$B:$B,"&gt;="&amp;I$1)))</f>
      </c>
      <c r="J5" s="22">
        <f>IF(ISBLANK(J$1),"",IF(J$1+7&gt;MAX('Past transactions'!$B:$B),SUMIFS('Past transactions'!$C:$C,'Past transactions'!$E:$E,$A5,'Past transactions'!$B:$B,"&gt;="&amp;J$1),SUMIFS('Past transactions'!$C:$C,'Past transactions'!$E:$E,$A5,'Past transactions'!$B:$B,"&lt;"&amp;K$1,'Past transactions'!$B:$B,"&gt;="&amp;J$1)))</f>
      </c>
      <c r="K5" s="22">
        <f>IF(ISBLANK(K$1),"",IF(K$1+7&gt;MAX('Past transactions'!$B:$B),SUMIFS('Past transactions'!$C:$C,'Past transactions'!$E:$E,$A5,'Past transactions'!$B:$B,"&gt;="&amp;K$1),SUMIFS('Past transactions'!$C:$C,'Past transactions'!$E:$E,$A5,'Past transactions'!$B:$B,"&lt;"&amp;L$1,'Past transactions'!$B:$B,"&gt;="&amp;K$1)))</f>
      </c>
      <c r="L5" s="22">
        <f>IF(ISBLANK(L$1),"",IF(L$1+7&gt;MAX('Past transactions'!$B:$B),SUMIFS('Past transactions'!$C:$C,'Past transactions'!$E:$E,$A5,'Past transactions'!$B:$B,"&gt;="&amp;L$1),SUMIFS('Past transactions'!$C:$C,'Past transactions'!$E:$E,$A5,'Past transactions'!$B:$B,"&lt;"&amp;M$1,'Past transactions'!$B:$B,"&gt;="&amp;L$1)))</f>
      </c>
      <c r="M5" s="22">
        <f>IF(ISBLANK(M$1),"",IF(M$1+7&gt;MAX('Past transactions'!$B:$B),SUMIFS('Past transactions'!$C:$C,'Past transactions'!$E:$E,$A5,'Past transactions'!$B:$B,"&gt;="&amp;M$1),SUMIFS('Past transactions'!$C:$C,'Past transactions'!$E:$E,$A5,'Past transactions'!$B:$B,"&lt;"&amp;N$1,'Past transactions'!$B:$B,"&gt;="&amp;M$1)))</f>
      </c>
      <c r="N5" s="22">
        <f>IF(ISBLANK(N$1),"",IF(N$1+7&gt;MAX('Past transactions'!$B:$B),SUMIFS('Past transactions'!$C:$C,'Past transactions'!$E:$E,$A5,'Past transactions'!$B:$B,"&gt;="&amp;N$1),SUMIFS('Past transactions'!$C:$C,'Past transactions'!$E:$E,$A5,'Past transactions'!$B:$B,"&lt;"&amp;O$1,'Past transactions'!$B:$B,"&gt;="&amp;N$1)))</f>
      </c>
      <c r="O5" s="22">
        <f>IF(ISBLANK(O$1),"",IF(O$1+7&gt;MAX('Past transactions'!$B:$B),SUMIFS('Past transactions'!$C:$C,'Past transactions'!$E:$E,$A5,'Past transactions'!$B:$B,"&gt;="&amp;O$1),SUMIFS('Past transactions'!$C:$C,'Past transactions'!$E:$E,$A5,'Past transactions'!$B:$B,"&lt;"&amp;P$1,'Past transactions'!$B:$B,"&gt;="&amp;O$1)))</f>
      </c>
      <c r="P5" s="22">
        <f>IF(ISBLANK(P$1),"",IF(P$1+7&gt;MAX('Past transactions'!$B:$B),SUMIFS('Past transactions'!$C:$C,'Past transactions'!$E:$E,$A5,'Past transactions'!$B:$B,"&gt;="&amp;P$1),SUMIFS('Past transactions'!$C:$C,'Past transactions'!$E:$E,$A5,'Past transactions'!$B:$B,"&lt;"&amp;Q$1,'Past transactions'!$B:$B,"&gt;="&amp;P$1)))</f>
      </c>
      <c r="Q5" s="22">
        <f>IF(ISBLANK(Q$1),"",IF(Q$1+7&gt;MAX('Past transactions'!$B:$B),SUMIFS('Past transactions'!$C:$C,'Past transactions'!$E:$E,$A5,'Past transactions'!$B:$B,"&gt;="&amp;Q$1),SUMIFS('Past transactions'!$C:$C,'Past transactions'!$E:$E,$A5,'Past transactions'!$B:$B,"&lt;"&amp;R$1,'Past transactions'!$B:$B,"&gt;="&amp;Q$1)))</f>
      </c>
      <c r="R5" s="22">
        <f>IF(ISBLANK(R$1),"",IF(R$1+7&gt;MAX('Past transactions'!$B:$B),SUMIFS('Past transactions'!$C:$C,'Past transactions'!$E:$E,$A5,'Past transactions'!$B:$B,"&gt;="&amp;R$1),SUMIFS('Past transactions'!$C:$C,'Past transactions'!$E:$E,$A5,'Past transactions'!$B:$B,"&lt;"&amp;S$1,'Past transactions'!$B:$B,"&gt;="&amp;R$1)))</f>
      </c>
      <c r="S5" s="22">
        <f>IF(ISBLANK(S$1),"",IF(S$1+7&gt;MAX('Past transactions'!$B:$B),SUMIFS('Past transactions'!$C:$C,'Past transactions'!$E:$E,$A5,'Past transactions'!$B:$B,"&gt;="&amp;S$1),SUMIFS('Past transactions'!$C:$C,'Past transactions'!$E:$E,$A5,'Past transactions'!$B:$B,"&lt;"&amp;#REF!,'Past transactions'!$B:$B,"&gt;="&amp;S$1)))</f>
      </c>
    </row>
    <row r="6">
      <c r="A6" t="s" s="1">
        <v>176</v>
      </c>
      <c r="B6" t="n" s="29">
        <f>IF(ISBLANK(B$1),"",IF(B$1+7&gt;MAX('Past transactions'!$B:$B),SUMIFS('Past transactions'!$C:$C,'Past transactions'!$E:$E,$A6,'Past transactions'!$B:$B,"&gt;="&amp;B$1),SUMIFS('Past transactions'!$C:$C,'Past transactions'!$E:$E,$A6,'Past transactions'!$B:$B,"&lt;"&amp;C$1,'Past transactions'!$B:$B,"&gt;="&amp;B$1)))</f>
        <v>0.0</v>
      </c>
      <c r="C6" t="n" s="29">
        <f>IF(ISBLANK(C$1),"",IF(C$1+7&gt;MAX('Past transactions'!$B:$B),SUMIFS('Past transactions'!$C:$C,'Past transactions'!$E:$E,$A6,'Past transactions'!$B:$B,"&gt;="&amp;C$1),SUMIFS('Past transactions'!$C:$C,'Past transactions'!$E:$E,$A6,'Past transactions'!$B:$B,"&lt;"&amp;D$1,'Past transactions'!$B:$B,"&gt;="&amp;C$1)))</f>
        <v>0.0</v>
      </c>
      <c r="D6" t="n" s="29">
        <f>IF(ISBLANK(D$1),"",IF(D$1+7&gt;MAX('Past transactions'!$B:$B),SUMIFS('Past transactions'!$C:$C,'Past transactions'!$E:$E,$A6,'Past transactions'!$B:$B,"&gt;="&amp;D$1),SUMIFS('Past transactions'!$C:$C,'Past transactions'!$E:$E,$A6,'Past transactions'!$B:$B,"&lt;"&amp;E$1,'Past transactions'!$B:$B,"&gt;="&amp;D$1)))</f>
        <v>0.0</v>
      </c>
      <c r="E6" t="n" s="29">
        <f>IF(ISBLANK(E$1),"",IF(E$1+7&gt;MAX('Past transactions'!$B:$B),SUMIFS('Past transactions'!$C:$C,'Past transactions'!$E:$E,$A6,'Past transactions'!$B:$B,"&gt;="&amp;E$1),SUMIFS('Past transactions'!$C:$C,'Past transactions'!$E:$E,$A6,'Past transactions'!$B:$B,"&lt;"&amp;F$1,'Past transactions'!$B:$B,"&gt;="&amp;E$1)))</f>
        <v>0.0</v>
      </c>
      <c r="F6" s="22">
        <f>IF(ISBLANK(F$1),"",IF(F$1+7&gt;MAX('Past transactions'!$B:$B),SUMIFS('Past transactions'!$C:$C,'Past transactions'!$E:$E,$A6,'Past transactions'!$B:$B,"&gt;="&amp;F$1),SUMIFS('Past transactions'!$C:$C,'Past transactions'!$E:$E,$A6,'Past transactions'!$B:$B,"&lt;"&amp;G$1,'Past transactions'!$B:$B,"&gt;="&amp;F$1)))</f>
      </c>
      <c r="G6" s="22">
        <f>IF(ISBLANK(G$1),"",IF(G$1+7&gt;MAX('Past transactions'!$B:$B),SUMIFS('Past transactions'!$C:$C,'Past transactions'!$E:$E,$A6,'Past transactions'!$B:$B,"&gt;="&amp;G$1),SUMIFS('Past transactions'!$C:$C,'Past transactions'!$E:$E,$A6,'Past transactions'!$B:$B,"&lt;"&amp;H$1,'Past transactions'!$B:$B,"&gt;="&amp;G$1)))</f>
      </c>
      <c r="H6" s="22">
        <f>IF(ISBLANK(H$1),"",IF(H$1+7&gt;MAX('Past transactions'!$B:$B),SUMIFS('Past transactions'!$C:$C,'Past transactions'!$E:$E,$A6,'Past transactions'!$B:$B,"&gt;="&amp;H$1),SUMIFS('Past transactions'!$C:$C,'Past transactions'!$E:$E,$A6,'Past transactions'!$B:$B,"&lt;"&amp;I$1,'Past transactions'!$B:$B,"&gt;="&amp;H$1)))</f>
      </c>
      <c r="I6" s="22">
        <f>IF(ISBLANK(I$1),"",IF(I$1+7&gt;MAX('Past transactions'!$B:$B),SUMIFS('Past transactions'!$C:$C,'Past transactions'!$E:$E,$A6,'Past transactions'!$B:$B,"&gt;="&amp;I$1),SUMIFS('Past transactions'!$C:$C,'Past transactions'!$E:$E,$A6,'Past transactions'!$B:$B,"&lt;"&amp;J$1,'Past transactions'!$B:$B,"&gt;="&amp;I$1)))</f>
      </c>
      <c r="J6" s="22">
        <f>IF(ISBLANK(J$1),"",IF(J$1+7&gt;MAX('Past transactions'!$B:$B),SUMIFS('Past transactions'!$C:$C,'Past transactions'!$E:$E,$A6,'Past transactions'!$B:$B,"&gt;="&amp;J$1),SUMIFS('Past transactions'!$C:$C,'Past transactions'!$E:$E,$A6,'Past transactions'!$B:$B,"&lt;"&amp;K$1,'Past transactions'!$B:$B,"&gt;="&amp;J$1)))</f>
      </c>
      <c r="K6" s="22">
        <f>IF(ISBLANK(K$1),"",IF(K$1+7&gt;MAX('Past transactions'!$B:$B),SUMIFS('Past transactions'!$C:$C,'Past transactions'!$E:$E,$A6,'Past transactions'!$B:$B,"&gt;="&amp;K$1),SUMIFS('Past transactions'!$C:$C,'Past transactions'!$E:$E,$A6,'Past transactions'!$B:$B,"&lt;"&amp;L$1,'Past transactions'!$B:$B,"&gt;="&amp;K$1)))</f>
      </c>
      <c r="L6" s="22">
        <f>IF(ISBLANK(L$1),"",IF(L$1+7&gt;MAX('Past transactions'!$B:$B),SUMIFS('Past transactions'!$C:$C,'Past transactions'!$E:$E,$A6,'Past transactions'!$B:$B,"&gt;="&amp;L$1),SUMIFS('Past transactions'!$C:$C,'Past transactions'!$E:$E,$A6,'Past transactions'!$B:$B,"&lt;"&amp;M$1,'Past transactions'!$B:$B,"&gt;="&amp;L$1)))</f>
      </c>
      <c r="M6" s="22">
        <f>IF(ISBLANK(M$1),"",IF(M$1+7&gt;MAX('Past transactions'!$B:$B),SUMIFS('Past transactions'!$C:$C,'Past transactions'!$E:$E,$A6,'Past transactions'!$B:$B,"&gt;="&amp;M$1),SUMIFS('Past transactions'!$C:$C,'Past transactions'!$E:$E,$A6,'Past transactions'!$B:$B,"&lt;"&amp;N$1,'Past transactions'!$B:$B,"&gt;="&amp;M$1)))</f>
      </c>
      <c r="N6" s="22">
        <f>IF(ISBLANK(N$1),"",IF(N$1+7&gt;MAX('Past transactions'!$B:$B),SUMIFS('Past transactions'!$C:$C,'Past transactions'!$E:$E,$A6,'Past transactions'!$B:$B,"&gt;="&amp;N$1),SUMIFS('Past transactions'!$C:$C,'Past transactions'!$E:$E,$A6,'Past transactions'!$B:$B,"&lt;"&amp;O$1,'Past transactions'!$B:$B,"&gt;="&amp;N$1)))</f>
      </c>
      <c r="O6" s="22">
        <f>IF(ISBLANK(O$1),"",IF(O$1+7&gt;MAX('Past transactions'!$B:$B),SUMIFS('Past transactions'!$C:$C,'Past transactions'!$E:$E,$A6,'Past transactions'!$B:$B,"&gt;="&amp;O$1),SUMIFS('Past transactions'!$C:$C,'Past transactions'!$E:$E,$A6,'Past transactions'!$B:$B,"&lt;"&amp;P$1,'Past transactions'!$B:$B,"&gt;="&amp;O$1)))</f>
      </c>
      <c r="P6" s="22">
        <f>IF(ISBLANK(P$1),"",IF(P$1+7&gt;MAX('Past transactions'!$B:$B),SUMIFS('Past transactions'!$C:$C,'Past transactions'!$E:$E,$A6,'Past transactions'!$B:$B,"&gt;="&amp;P$1),SUMIFS('Past transactions'!$C:$C,'Past transactions'!$E:$E,$A6,'Past transactions'!$B:$B,"&lt;"&amp;Q$1,'Past transactions'!$B:$B,"&gt;="&amp;P$1)))</f>
      </c>
      <c r="Q6" s="22">
        <f>IF(ISBLANK(Q$1),"",IF(Q$1+7&gt;MAX('Past transactions'!$B:$B),SUMIFS('Past transactions'!$C:$C,'Past transactions'!$E:$E,$A6,'Past transactions'!$B:$B,"&gt;="&amp;Q$1),SUMIFS('Past transactions'!$C:$C,'Past transactions'!$E:$E,$A6,'Past transactions'!$B:$B,"&lt;"&amp;R$1,'Past transactions'!$B:$B,"&gt;="&amp;Q$1)))</f>
      </c>
      <c r="R6" s="22">
        <f>IF(ISBLANK(R$1),"",IF(R$1+7&gt;MAX('Past transactions'!$B:$B),SUMIFS('Past transactions'!$C:$C,'Past transactions'!$E:$E,$A6,'Past transactions'!$B:$B,"&gt;="&amp;R$1),SUMIFS('Past transactions'!$C:$C,'Past transactions'!$E:$E,$A6,'Past transactions'!$B:$B,"&lt;"&amp;S$1,'Past transactions'!$B:$B,"&gt;="&amp;R$1)))</f>
      </c>
      <c r="S6" s="22">
        <f>IF(ISBLANK(S$1),"",IF(S$1+7&gt;MAX('Past transactions'!$B:$B),SUMIFS('Past transactions'!$C:$C,'Past transactions'!$E:$E,$A6,'Past transactions'!$B:$B,"&gt;="&amp;S$1),SUMIFS('Past transactions'!$C:$C,'Past transactions'!$E:$E,$A6,'Past transactions'!$B:$B,"&lt;"&amp;#REF!,'Past transactions'!$B:$B,"&gt;="&amp;S$1)))</f>
      </c>
    </row>
    <row r="7">
      <c r="A7" t="s" s="1">
        <v>51</v>
      </c>
      <c r="B7" t="n" s="29">
        <f>IF(ISBLANK(B$1),"",IF(B$1+7&gt;MAX('Past transactions'!$B:$B),SUMIFS('Past transactions'!$C:$C,'Past transactions'!$E:$E,$A7,'Past transactions'!$B:$B,"&gt;="&amp;B$1),SUMIFS('Past transactions'!$C:$C,'Past transactions'!$E:$E,$A7,'Past transactions'!$B:$B,"&lt;"&amp;C$1,'Past transactions'!$B:$B,"&gt;="&amp;B$1)))</f>
        <v>0.0</v>
      </c>
      <c r="C7" t="n" s="25">
        <f>IF(ISBLANK(C$1),"",IF(C$1+7&gt;MAX('Past transactions'!$B:$B),SUMIFS('Past transactions'!$C:$C,'Past transactions'!$E:$E,$A7,'Past transactions'!$B:$B,"&gt;="&amp;C$1),SUMIFS('Past transactions'!$C:$C,'Past transactions'!$E:$E,$A7,'Past transactions'!$B:$B,"&lt;"&amp;D$1,'Past transactions'!$B:$B,"&gt;="&amp;C$1)))</f>
        <v>7440.6</v>
      </c>
      <c r="D7" t="n" s="29">
        <f>IF(ISBLANK(D$1),"",IF(D$1+7&gt;MAX('Past transactions'!$B:$B),SUMIFS('Past transactions'!$C:$C,'Past transactions'!$E:$E,$A7,'Past transactions'!$B:$B,"&gt;="&amp;D$1),SUMIFS('Past transactions'!$C:$C,'Past transactions'!$E:$E,$A7,'Past transactions'!$B:$B,"&lt;"&amp;E$1,'Past transactions'!$B:$B,"&gt;="&amp;D$1)))</f>
        <v>0.0</v>
      </c>
      <c r="E7" t="n" s="29">
        <f>IF(ISBLANK(E$1),"",IF(E$1+7&gt;MAX('Past transactions'!$B:$B),SUMIFS('Past transactions'!$C:$C,'Past transactions'!$E:$E,$A7,'Past transactions'!$B:$B,"&gt;="&amp;E$1),SUMIFS('Past transactions'!$C:$C,'Past transactions'!$E:$E,$A7,'Past transactions'!$B:$B,"&lt;"&amp;F$1,'Past transactions'!$B:$B,"&gt;="&amp;E$1)))</f>
        <v>0.0</v>
      </c>
      <c r="F7" s="22">
        <f>IF(ISBLANK(F$1),"",IF(F$1+7&gt;MAX('Past transactions'!$B:$B),SUMIFS('Past transactions'!$C:$C,'Past transactions'!$E:$E,$A7,'Past transactions'!$B:$B,"&gt;="&amp;F$1),SUMIFS('Past transactions'!$C:$C,'Past transactions'!$E:$E,$A7,'Past transactions'!$B:$B,"&lt;"&amp;G$1,'Past transactions'!$B:$B,"&gt;="&amp;F$1)))</f>
      </c>
      <c r="G7" s="22">
        <f>IF(ISBLANK(G$1),"",IF(G$1+7&gt;MAX('Past transactions'!$B:$B),SUMIFS('Past transactions'!$C:$C,'Past transactions'!$E:$E,$A7,'Past transactions'!$B:$B,"&gt;="&amp;G$1),SUMIFS('Past transactions'!$C:$C,'Past transactions'!$E:$E,$A7,'Past transactions'!$B:$B,"&lt;"&amp;H$1,'Past transactions'!$B:$B,"&gt;="&amp;G$1)))</f>
      </c>
      <c r="H7" s="22">
        <f>IF(ISBLANK(H$1),"",IF(H$1+7&gt;MAX('Past transactions'!$B:$B),SUMIFS('Past transactions'!$C:$C,'Past transactions'!$E:$E,$A7,'Past transactions'!$B:$B,"&gt;="&amp;H$1),SUMIFS('Past transactions'!$C:$C,'Past transactions'!$E:$E,$A7,'Past transactions'!$B:$B,"&lt;"&amp;I$1,'Past transactions'!$B:$B,"&gt;="&amp;H$1)))</f>
      </c>
      <c r="I7" s="22">
        <f>IF(ISBLANK(I$1),"",IF(I$1+7&gt;MAX('Past transactions'!$B:$B),SUMIFS('Past transactions'!$C:$C,'Past transactions'!$E:$E,$A7,'Past transactions'!$B:$B,"&gt;="&amp;I$1),SUMIFS('Past transactions'!$C:$C,'Past transactions'!$E:$E,$A7,'Past transactions'!$B:$B,"&lt;"&amp;J$1,'Past transactions'!$B:$B,"&gt;="&amp;I$1)))</f>
      </c>
      <c r="J7" s="22">
        <f>IF(ISBLANK(J$1),"",IF(J$1+7&gt;MAX('Past transactions'!$B:$B),SUMIFS('Past transactions'!$C:$C,'Past transactions'!$E:$E,$A7,'Past transactions'!$B:$B,"&gt;="&amp;J$1),SUMIFS('Past transactions'!$C:$C,'Past transactions'!$E:$E,$A7,'Past transactions'!$B:$B,"&lt;"&amp;K$1,'Past transactions'!$B:$B,"&gt;="&amp;J$1)))</f>
      </c>
      <c r="K7" s="22">
        <f>IF(ISBLANK(K$1),"",IF(K$1+7&gt;MAX('Past transactions'!$B:$B),SUMIFS('Past transactions'!$C:$C,'Past transactions'!$E:$E,$A7,'Past transactions'!$B:$B,"&gt;="&amp;K$1),SUMIFS('Past transactions'!$C:$C,'Past transactions'!$E:$E,$A7,'Past transactions'!$B:$B,"&lt;"&amp;L$1,'Past transactions'!$B:$B,"&gt;="&amp;K$1)))</f>
      </c>
      <c r="L7" s="22">
        <f>IF(ISBLANK(L$1),"",IF(L$1+7&gt;MAX('Past transactions'!$B:$B),SUMIFS('Past transactions'!$C:$C,'Past transactions'!$E:$E,$A7,'Past transactions'!$B:$B,"&gt;="&amp;L$1),SUMIFS('Past transactions'!$C:$C,'Past transactions'!$E:$E,$A7,'Past transactions'!$B:$B,"&lt;"&amp;M$1,'Past transactions'!$B:$B,"&gt;="&amp;L$1)))</f>
      </c>
      <c r="M7" s="22">
        <f>IF(ISBLANK(M$1),"",IF(M$1+7&gt;MAX('Past transactions'!$B:$B),SUMIFS('Past transactions'!$C:$C,'Past transactions'!$E:$E,$A7,'Past transactions'!$B:$B,"&gt;="&amp;M$1),SUMIFS('Past transactions'!$C:$C,'Past transactions'!$E:$E,$A7,'Past transactions'!$B:$B,"&lt;"&amp;N$1,'Past transactions'!$B:$B,"&gt;="&amp;M$1)))</f>
      </c>
      <c r="N7" s="22">
        <f>IF(ISBLANK(N$1),"",IF(N$1+7&gt;MAX('Past transactions'!$B:$B),SUMIFS('Past transactions'!$C:$C,'Past transactions'!$E:$E,$A7,'Past transactions'!$B:$B,"&gt;="&amp;N$1),SUMIFS('Past transactions'!$C:$C,'Past transactions'!$E:$E,$A7,'Past transactions'!$B:$B,"&lt;"&amp;O$1,'Past transactions'!$B:$B,"&gt;="&amp;N$1)))</f>
      </c>
      <c r="O7" s="22">
        <f>IF(ISBLANK(O$1),"",IF(O$1+7&gt;MAX('Past transactions'!$B:$B),SUMIFS('Past transactions'!$C:$C,'Past transactions'!$E:$E,$A7,'Past transactions'!$B:$B,"&gt;="&amp;O$1),SUMIFS('Past transactions'!$C:$C,'Past transactions'!$E:$E,$A7,'Past transactions'!$B:$B,"&lt;"&amp;P$1,'Past transactions'!$B:$B,"&gt;="&amp;O$1)))</f>
      </c>
      <c r="P7" s="22">
        <f>IF(ISBLANK(P$1),"",IF(P$1+7&gt;MAX('Past transactions'!$B:$B),SUMIFS('Past transactions'!$C:$C,'Past transactions'!$E:$E,$A7,'Past transactions'!$B:$B,"&gt;="&amp;P$1),SUMIFS('Past transactions'!$C:$C,'Past transactions'!$E:$E,$A7,'Past transactions'!$B:$B,"&lt;"&amp;Q$1,'Past transactions'!$B:$B,"&gt;="&amp;P$1)))</f>
      </c>
      <c r="Q7" s="22">
        <f>IF(ISBLANK(Q$1),"",IF(Q$1+7&gt;MAX('Past transactions'!$B:$B),SUMIFS('Past transactions'!$C:$C,'Past transactions'!$E:$E,$A7,'Past transactions'!$B:$B,"&gt;="&amp;Q$1),SUMIFS('Past transactions'!$C:$C,'Past transactions'!$E:$E,$A7,'Past transactions'!$B:$B,"&lt;"&amp;R$1,'Past transactions'!$B:$B,"&gt;="&amp;Q$1)))</f>
      </c>
      <c r="R7" s="22">
        <f>IF(ISBLANK(R$1),"",IF(R$1+7&gt;MAX('Past transactions'!$B:$B),SUMIFS('Past transactions'!$C:$C,'Past transactions'!$E:$E,$A7,'Past transactions'!$B:$B,"&gt;="&amp;R$1),SUMIFS('Past transactions'!$C:$C,'Past transactions'!$E:$E,$A7,'Past transactions'!$B:$B,"&lt;"&amp;S$1,'Past transactions'!$B:$B,"&gt;="&amp;R$1)))</f>
      </c>
      <c r="S7" s="22">
        <f>IF(ISBLANK(S$1),"",IF(S$1+7&gt;MAX('Past transactions'!$B:$B),SUMIFS('Past transactions'!$C:$C,'Past transactions'!$E:$E,$A7,'Past transactions'!$B:$B,"&gt;="&amp;S$1),SUMIFS('Past transactions'!$C:$C,'Past transactions'!$E:$E,$A7,'Past transactions'!$B:$B,"&lt;"&amp;#REF!,'Past transactions'!$B:$B,"&gt;="&amp;S$1)))</f>
      </c>
    </row>
    <row r="8" ht="14.25" customHeight="true">
      <c r="A8" t="s" s="1">
        <v>21</v>
      </c>
      <c r="B8" t="n" s="25">
        <f>IF(ISBLANK(B$1),"",IF(B$1+7&gt;MAX('Past transactions'!$B:$B),SUMIFS('Past transactions'!$C:$C,'Past transactions'!$E:$E,$A8,'Past transactions'!$B:$B,"&gt;="&amp;B$1),SUMIFS('Past transactions'!$C:$C,'Past transactions'!$E:$E,$A8,'Past transactions'!$B:$B,"&lt;"&amp;C$1,'Past transactions'!$B:$B,"&gt;="&amp;B$1)))</f>
        <v>23206.23</v>
      </c>
      <c r="C8" t="n" s="29">
        <f>IF(ISBLANK(C$1),"",IF(C$1+7&gt;MAX('Past transactions'!$B:$B),SUMIFS('Past transactions'!$C:$C,'Past transactions'!$E:$E,$A8,'Past transactions'!$B:$B,"&gt;="&amp;C$1),SUMIFS('Past transactions'!$C:$C,'Past transactions'!$E:$E,$A8,'Past transactions'!$B:$B,"&lt;"&amp;D$1,'Past transactions'!$B:$B,"&gt;="&amp;C$1)))</f>
        <v>0.0</v>
      </c>
      <c r="D8" t="n" s="25">
        <f>IF(ISBLANK(D$1),"",IF(D$1+7&gt;MAX('Past transactions'!$B:$B),SUMIFS('Past transactions'!$C:$C,'Past transactions'!$E:$E,$A8,'Past transactions'!$B:$B,"&gt;="&amp;D$1),SUMIFS('Past transactions'!$C:$C,'Past transactions'!$E:$E,$A8,'Past transactions'!$B:$B,"&lt;"&amp;E$1,'Past transactions'!$B:$B,"&gt;="&amp;D$1)))</f>
        <v>20125.08</v>
      </c>
      <c r="E8" t="n" s="29">
        <f>IF(ISBLANK(E$1),"",IF(E$1+7&gt;MAX('Past transactions'!$B:$B),SUMIFS('Past transactions'!$C:$C,'Past transactions'!$E:$E,$A8,'Past transactions'!$B:$B,"&gt;="&amp;E$1),SUMIFS('Past transactions'!$C:$C,'Past transactions'!$E:$E,$A8,'Past transactions'!$B:$B,"&lt;"&amp;F$1,'Past transactions'!$B:$B,"&gt;="&amp;E$1)))</f>
        <v>0.0</v>
      </c>
      <c r="F8" s="22">
        <f>IF(ISBLANK(F$1),"",IF(F$1+7&gt;MAX('Past transactions'!$B:$B),SUMIFS('Past transactions'!$C:$C,'Past transactions'!$E:$E,$A8,'Past transactions'!$B:$B,"&gt;="&amp;F$1),SUMIFS('Past transactions'!$C:$C,'Past transactions'!$E:$E,$A8,'Past transactions'!$B:$B,"&lt;"&amp;G$1,'Past transactions'!$B:$B,"&gt;="&amp;F$1)))</f>
      </c>
      <c r="G8" s="22">
        <f>IF(ISBLANK(G$1),"",IF(G$1+7&gt;MAX('Past transactions'!$B:$B),SUMIFS('Past transactions'!$C:$C,'Past transactions'!$E:$E,$A8,'Past transactions'!$B:$B,"&gt;="&amp;G$1),SUMIFS('Past transactions'!$C:$C,'Past transactions'!$E:$E,$A8,'Past transactions'!$B:$B,"&lt;"&amp;H$1,'Past transactions'!$B:$B,"&gt;="&amp;G$1)))</f>
      </c>
      <c r="H8" s="22">
        <f>IF(ISBLANK(H$1),"",IF(H$1+7&gt;MAX('Past transactions'!$B:$B),SUMIFS('Past transactions'!$C:$C,'Past transactions'!$E:$E,$A8,'Past transactions'!$B:$B,"&gt;="&amp;H$1),SUMIFS('Past transactions'!$C:$C,'Past transactions'!$E:$E,$A8,'Past transactions'!$B:$B,"&lt;"&amp;I$1,'Past transactions'!$B:$B,"&gt;="&amp;H$1)))</f>
      </c>
      <c r="I8" s="22">
        <f>IF(ISBLANK(I$1),"",IF(I$1+7&gt;MAX('Past transactions'!$B:$B),SUMIFS('Past transactions'!$C:$C,'Past transactions'!$E:$E,$A8,'Past transactions'!$B:$B,"&gt;="&amp;I$1),SUMIFS('Past transactions'!$C:$C,'Past transactions'!$E:$E,$A8,'Past transactions'!$B:$B,"&lt;"&amp;J$1,'Past transactions'!$B:$B,"&gt;="&amp;I$1)))</f>
      </c>
      <c r="J8" s="22">
        <f>IF(ISBLANK(J$1),"",IF(J$1+7&gt;MAX('Past transactions'!$B:$B),SUMIFS('Past transactions'!$C:$C,'Past transactions'!$E:$E,$A8,'Past transactions'!$B:$B,"&gt;="&amp;J$1),SUMIFS('Past transactions'!$C:$C,'Past transactions'!$E:$E,$A8,'Past transactions'!$B:$B,"&lt;"&amp;K$1,'Past transactions'!$B:$B,"&gt;="&amp;J$1)))</f>
      </c>
      <c r="K8" s="22">
        <f>IF(ISBLANK(K$1),"",IF(K$1+7&gt;MAX('Past transactions'!$B:$B),SUMIFS('Past transactions'!$C:$C,'Past transactions'!$E:$E,$A8,'Past transactions'!$B:$B,"&gt;="&amp;K$1),SUMIFS('Past transactions'!$C:$C,'Past transactions'!$E:$E,$A8,'Past transactions'!$B:$B,"&lt;"&amp;L$1,'Past transactions'!$B:$B,"&gt;="&amp;K$1)))</f>
      </c>
      <c r="L8" s="22">
        <f>IF(ISBLANK(L$1),"",IF(L$1+7&gt;MAX('Past transactions'!$B:$B),SUMIFS('Past transactions'!$C:$C,'Past transactions'!$E:$E,$A8,'Past transactions'!$B:$B,"&gt;="&amp;L$1),SUMIFS('Past transactions'!$C:$C,'Past transactions'!$E:$E,$A8,'Past transactions'!$B:$B,"&lt;"&amp;M$1,'Past transactions'!$B:$B,"&gt;="&amp;L$1)))</f>
      </c>
      <c r="M8" s="22">
        <f>IF(ISBLANK(M$1),"",IF(M$1+7&gt;MAX('Past transactions'!$B:$B),SUMIFS('Past transactions'!$C:$C,'Past transactions'!$E:$E,$A8,'Past transactions'!$B:$B,"&gt;="&amp;M$1),SUMIFS('Past transactions'!$C:$C,'Past transactions'!$E:$E,$A8,'Past transactions'!$B:$B,"&lt;"&amp;N$1,'Past transactions'!$B:$B,"&gt;="&amp;M$1)))</f>
      </c>
      <c r="N8" s="22">
        <f>IF(ISBLANK(N$1),"",IF(N$1+7&gt;MAX('Past transactions'!$B:$B),SUMIFS('Past transactions'!$C:$C,'Past transactions'!$E:$E,$A8,'Past transactions'!$B:$B,"&gt;="&amp;N$1),SUMIFS('Past transactions'!$C:$C,'Past transactions'!$E:$E,$A8,'Past transactions'!$B:$B,"&lt;"&amp;O$1,'Past transactions'!$B:$B,"&gt;="&amp;N$1)))</f>
      </c>
      <c r="O8" s="22">
        <f>IF(ISBLANK(O$1),"",IF(O$1+7&gt;MAX('Past transactions'!$B:$B),SUMIFS('Past transactions'!$C:$C,'Past transactions'!$E:$E,$A8,'Past transactions'!$B:$B,"&gt;="&amp;O$1),SUMIFS('Past transactions'!$C:$C,'Past transactions'!$E:$E,$A8,'Past transactions'!$B:$B,"&lt;"&amp;P$1,'Past transactions'!$B:$B,"&gt;="&amp;O$1)))</f>
      </c>
      <c r="P8" s="22">
        <f>IF(ISBLANK(P$1),"",IF(P$1+7&gt;MAX('Past transactions'!$B:$B),SUMIFS('Past transactions'!$C:$C,'Past transactions'!$E:$E,$A8,'Past transactions'!$B:$B,"&gt;="&amp;P$1),SUMIFS('Past transactions'!$C:$C,'Past transactions'!$E:$E,$A8,'Past transactions'!$B:$B,"&lt;"&amp;Q$1,'Past transactions'!$B:$B,"&gt;="&amp;P$1)))</f>
      </c>
      <c r="Q8" s="22">
        <f>IF(ISBLANK(Q$1),"",IF(Q$1+7&gt;MAX('Past transactions'!$B:$B),SUMIFS('Past transactions'!$C:$C,'Past transactions'!$E:$E,$A8,'Past transactions'!$B:$B,"&gt;="&amp;Q$1),SUMIFS('Past transactions'!$C:$C,'Past transactions'!$E:$E,$A8,'Past transactions'!$B:$B,"&lt;"&amp;R$1,'Past transactions'!$B:$B,"&gt;="&amp;Q$1)))</f>
      </c>
      <c r="R8" s="22">
        <f>IF(ISBLANK(R$1),"",IF(R$1+7&gt;MAX('Past transactions'!$B:$B),SUMIFS('Past transactions'!$C:$C,'Past transactions'!$E:$E,$A8,'Past transactions'!$B:$B,"&gt;="&amp;R$1),SUMIFS('Past transactions'!$C:$C,'Past transactions'!$E:$E,$A8,'Past transactions'!$B:$B,"&lt;"&amp;S$1,'Past transactions'!$B:$B,"&gt;="&amp;R$1)))</f>
      </c>
      <c r="S8" s="22">
        <f>IF(ISBLANK(S$1),"",IF(S$1+7&gt;MAX('Past transactions'!$B:$B),SUMIFS('Past transactions'!$C:$C,'Past transactions'!$E:$E,$A8,'Past transactions'!$B:$B,"&gt;="&amp;S$1),SUMIFS('Past transactions'!$C:$C,'Past transactions'!$E:$E,$A8,'Past transactions'!$B:$B,"&lt;"&amp;#REF!,'Past transactions'!$B:$B,"&gt;="&amp;S$1)))</f>
      </c>
    </row>
    <row r="9" ht="14.25" customHeight="true">
      <c r="A9" t="s" s="1">
        <v>26</v>
      </c>
      <c r="B9" t="n" s="29">
        <f>IF(ISBLANK(B$1),"",IF(B$1+7&gt;MAX('Past transactions'!$B:$B),SUMIFS('Past transactions'!$C:$C,'Past transactions'!$E:$E,$A9,'Past transactions'!$B:$B,"&gt;="&amp;B$1),SUMIFS('Past transactions'!$C:$C,'Past transactions'!$E:$E,$A9,'Past transactions'!$B:$B,"&lt;"&amp;C$1,'Past transactions'!$B:$B,"&gt;="&amp;B$1)))</f>
        <v>1375.6</v>
      </c>
      <c r="C9" t="n" s="29">
        <f>IF(ISBLANK(C$1),"",IF(C$1+7&gt;MAX('Past transactions'!$B:$B),SUMIFS('Past transactions'!$C:$C,'Past transactions'!$E:$E,$A9,'Past transactions'!$B:$B,"&gt;="&amp;C$1),SUMIFS('Past transactions'!$C:$C,'Past transactions'!$E:$E,$A9,'Past transactions'!$B:$B,"&lt;"&amp;D$1,'Past transactions'!$B:$B,"&gt;="&amp;C$1)))</f>
        <v>-308.65</v>
      </c>
      <c r="D9" t="n" s="29">
        <f>IF(ISBLANK(D$1),"",IF(D$1+7&gt;MAX('Past transactions'!$B:$B),SUMIFS('Past transactions'!$C:$C,'Past transactions'!$E:$E,$A9,'Past transactions'!$B:$B,"&gt;="&amp;D$1),SUMIFS('Past transactions'!$C:$C,'Past transactions'!$E:$E,$A9,'Past transactions'!$B:$B,"&lt;"&amp;E$1,'Past transactions'!$B:$B,"&gt;="&amp;D$1)))</f>
        <v>1041.26</v>
      </c>
      <c r="E9" t="n" s="29">
        <f>IF(ISBLANK(E$1),"",IF(E$1+7&gt;MAX('Past transactions'!$B:$B),SUMIFS('Past transactions'!$C:$C,'Past transactions'!$E:$E,$A9,'Past transactions'!$B:$B,"&gt;="&amp;E$1),SUMIFS('Past transactions'!$C:$C,'Past transactions'!$E:$E,$A9,'Past transactions'!$B:$B,"&lt;"&amp;F$1,'Past transactions'!$B:$B,"&gt;="&amp;E$1)))</f>
        <v>0.0</v>
      </c>
      <c r="F9" s="22">
        <f>IF(ISBLANK(F$1),"",IF(F$1+7&gt;MAX('Past transactions'!$B:$B),SUMIFS('Past transactions'!$C:$C,'Past transactions'!$E:$E,$A9,'Past transactions'!$B:$B,"&gt;="&amp;F$1),SUMIFS('Past transactions'!$C:$C,'Past transactions'!$E:$E,$A9,'Past transactions'!$B:$B,"&lt;"&amp;G$1,'Past transactions'!$B:$B,"&gt;="&amp;F$1)))</f>
      </c>
      <c r="G9" s="22">
        <f>IF(ISBLANK(G$1),"",IF(G$1+7&gt;MAX('Past transactions'!$B:$B),SUMIFS('Past transactions'!$C:$C,'Past transactions'!$E:$E,$A9,'Past transactions'!$B:$B,"&gt;="&amp;G$1),SUMIFS('Past transactions'!$C:$C,'Past transactions'!$E:$E,$A9,'Past transactions'!$B:$B,"&lt;"&amp;H$1,'Past transactions'!$B:$B,"&gt;="&amp;G$1)))</f>
      </c>
      <c r="H9" s="22">
        <f>IF(ISBLANK(H$1),"",IF(H$1+7&gt;MAX('Past transactions'!$B:$B),SUMIFS('Past transactions'!$C:$C,'Past transactions'!$E:$E,$A9,'Past transactions'!$B:$B,"&gt;="&amp;H$1),SUMIFS('Past transactions'!$C:$C,'Past transactions'!$E:$E,$A9,'Past transactions'!$B:$B,"&lt;"&amp;I$1,'Past transactions'!$B:$B,"&gt;="&amp;H$1)))</f>
      </c>
      <c r="I9" s="22">
        <f>IF(ISBLANK(I$1),"",IF(I$1+7&gt;MAX('Past transactions'!$B:$B),SUMIFS('Past transactions'!$C:$C,'Past transactions'!$E:$E,$A9,'Past transactions'!$B:$B,"&gt;="&amp;I$1),SUMIFS('Past transactions'!$C:$C,'Past transactions'!$E:$E,$A9,'Past transactions'!$B:$B,"&lt;"&amp;J$1,'Past transactions'!$B:$B,"&gt;="&amp;I$1)))</f>
      </c>
      <c r="J9" s="22">
        <f>IF(ISBLANK(J$1),"",IF(J$1+7&gt;MAX('Past transactions'!$B:$B),SUMIFS('Past transactions'!$C:$C,'Past transactions'!$E:$E,$A9,'Past transactions'!$B:$B,"&gt;="&amp;J$1),SUMIFS('Past transactions'!$C:$C,'Past transactions'!$E:$E,$A9,'Past transactions'!$B:$B,"&lt;"&amp;K$1,'Past transactions'!$B:$B,"&gt;="&amp;J$1)))</f>
      </c>
      <c r="K9" s="22">
        <f>IF(ISBLANK(K$1),"",IF(K$1+7&gt;MAX('Past transactions'!$B:$B),SUMIFS('Past transactions'!$C:$C,'Past transactions'!$E:$E,$A9,'Past transactions'!$B:$B,"&gt;="&amp;K$1),SUMIFS('Past transactions'!$C:$C,'Past transactions'!$E:$E,$A9,'Past transactions'!$B:$B,"&lt;"&amp;L$1,'Past transactions'!$B:$B,"&gt;="&amp;K$1)))</f>
      </c>
      <c r="L9" s="22">
        <f>IF(ISBLANK(L$1),"",IF(L$1+7&gt;MAX('Past transactions'!$B:$B),SUMIFS('Past transactions'!$C:$C,'Past transactions'!$E:$E,$A9,'Past transactions'!$B:$B,"&gt;="&amp;L$1),SUMIFS('Past transactions'!$C:$C,'Past transactions'!$E:$E,$A9,'Past transactions'!$B:$B,"&lt;"&amp;M$1,'Past transactions'!$B:$B,"&gt;="&amp;L$1)))</f>
      </c>
      <c r="M9" s="22">
        <f>IF(ISBLANK(M$1),"",IF(M$1+7&gt;MAX('Past transactions'!$B:$B),SUMIFS('Past transactions'!$C:$C,'Past transactions'!$E:$E,$A9,'Past transactions'!$B:$B,"&gt;="&amp;M$1),SUMIFS('Past transactions'!$C:$C,'Past transactions'!$E:$E,$A9,'Past transactions'!$B:$B,"&lt;"&amp;N$1,'Past transactions'!$B:$B,"&gt;="&amp;M$1)))</f>
      </c>
      <c r="N9" s="22">
        <f>IF(ISBLANK(N$1),"",IF(N$1+7&gt;MAX('Past transactions'!$B:$B),SUMIFS('Past transactions'!$C:$C,'Past transactions'!$E:$E,$A9,'Past transactions'!$B:$B,"&gt;="&amp;N$1),SUMIFS('Past transactions'!$C:$C,'Past transactions'!$E:$E,$A9,'Past transactions'!$B:$B,"&lt;"&amp;O$1,'Past transactions'!$B:$B,"&gt;="&amp;N$1)))</f>
      </c>
      <c r="O9" s="22">
        <f>IF(ISBLANK(O$1),"",IF(O$1+7&gt;MAX('Past transactions'!$B:$B),SUMIFS('Past transactions'!$C:$C,'Past transactions'!$E:$E,$A9,'Past transactions'!$B:$B,"&gt;="&amp;O$1),SUMIFS('Past transactions'!$C:$C,'Past transactions'!$E:$E,$A9,'Past transactions'!$B:$B,"&lt;"&amp;P$1,'Past transactions'!$B:$B,"&gt;="&amp;O$1)))</f>
      </c>
      <c r="P9" s="22">
        <f>IF(ISBLANK(P$1),"",IF(P$1+7&gt;MAX('Past transactions'!$B:$B),SUMIFS('Past transactions'!$C:$C,'Past transactions'!$E:$E,$A9,'Past transactions'!$B:$B,"&gt;="&amp;P$1),SUMIFS('Past transactions'!$C:$C,'Past transactions'!$E:$E,$A9,'Past transactions'!$B:$B,"&lt;"&amp;Q$1,'Past transactions'!$B:$B,"&gt;="&amp;P$1)))</f>
      </c>
      <c r="Q9" s="22">
        <f>IF(ISBLANK(Q$1),"",IF(Q$1+7&gt;MAX('Past transactions'!$B:$B),SUMIFS('Past transactions'!$C:$C,'Past transactions'!$E:$E,$A9,'Past transactions'!$B:$B,"&gt;="&amp;Q$1),SUMIFS('Past transactions'!$C:$C,'Past transactions'!$E:$E,$A9,'Past transactions'!$B:$B,"&lt;"&amp;R$1,'Past transactions'!$B:$B,"&gt;="&amp;Q$1)))</f>
      </c>
      <c r="R9" s="22">
        <f>IF(ISBLANK(R$1),"",IF(R$1+7&gt;MAX('Past transactions'!$B:$B),SUMIFS('Past transactions'!$C:$C,'Past transactions'!$E:$E,$A9,'Past transactions'!$B:$B,"&gt;="&amp;R$1),SUMIFS('Past transactions'!$C:$C,'Past transactions'!$E:$E,$A9,'Past transactions'!$B:$B,"&lt;"&amp;S$1,'Past transactions'!$B:$B,"&gt;="&amp;R$1)))</f>
      </c>
      <c r="S9" s="22">
        <f>IF(ISBLANK(S$1),"",IF(S$1+7&gt;MAX('Past transactions'!$B:$B),SUMIFS('Past transactions'!$C:$C,'Past transactions'!$E:$E,$A9,'Past transactions'!$B:$B,"&gt;="&amp;S$1),SUMIFS('Past transactions'!$C:$C,'Past transactions'!$E:$E,$A9,'Past transactions'!$B:$B,"&lt;"&amp;#REF!,'Past transactions'!$B:$B,"&gt;="&amp;S$1)))</f>
      </c>
    </row>
    <row r="10">
      <c r="A10" t="s" s="36">
        <v>139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</row>
    <row r="11">
      <c r="A11" t="s" s="36">
        <v>177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>
      <c r="A12" t="s" s="36">
        <v>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>
      <c r="A13" s="13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>
      <c r="A14" t="s" s="13">
        <v>178</v>
      </c>
      <c r="B14" t="n" s="38">
        <f>IF(ISBLANK(B$1),"",B3+B4-B5-B6-B7-B8-B9-B10-B11-B12-B13)</f>
        <v>-16710.99</v>
      </c>
      <c r="C14" t="n" s="38">
        <f>IF(ISBLANK(C$1),"",C3+C4-C5-C6-C7-C8-C9-C10-C11-C12-C13)</f>
        <v>6156.1</v>
      </c>
      <c r="D14" t="n" s="38">
        <f>IF(ISBLANK(D$1),"",D3+D4-D5-D6-D7-D8-D9-D10-D11-D12-D13)</f>
        <v>-12440.86</v>
      </c>
      <c r="E14" t="n" s="38">
        <f>IF(ISBLANK(E$1),"",E3+E4-E5-E6-E7-E8-E9-E10-E11-E12-E13)</f>
        <v>15010.8</v>
      </c>
      <c r="F14" s="37">
        <f>IF(ISBLANK(F$1),"",F3+F4-F5-F6-F7-#REF!-#REF!)</f>
      </c>
      <c r="G14" s="37">
        <f>IF(ISBLANK(G$1),"",G3+G4-G5-G6-G7-#REF!-#REF!)</f>
      </c>
      <c r="H14" s="37">
        <f>IF(ISBLANK(H$1),"",H3+H4-H5-H6-H7-#REF!-#REF!)</f>
      </c>
      <c r="I14" s="37">
        <f>IF(ISBLANK(I$1),"",I3+I4-I5-I6-I7-#REF!-#REF!)</f>
      </c>
      <c r="J14" s="37">
        <f>IF(ISBLANK(J$1),"",J3+J4-J5-J6-J7-#REF!-#REF!)</f>
      </c>
      <c r="K14" s="37">
        <f>IF(ISBLANK(K$1),"",K3+K4-K5-K6-K7-#REF!-#REF!)</f>
      </c>
      <c r="L14" s="37">
        <f>IF(ISBLANK(L$1),"",L3+L4-L5-L6-L7-#REF!-#REF!)</f>
      </c>
      <c r="M14" s="37">
        <f>IF(ISBLANK(M$1),"",M3+M4-M5-M6-M7-#REF!-#REF!)</f>
      </c>
      <c r="N14" s="37">
        <f>IF(ISBLANK(N$1),"",N3+N4-N5-N6-N7-#REF!-#REF!)</f>
      </c>
      <c r="O14" s="37">
        <f>IF(ISBLANK(O$1),"",O3+O4-O5-O6-O7-#REF!-#REF!)</f>
      </c>
      <c r="P14" s="37">
        <f>IF(ISBLANK(P$1),"",P3+P4-P5-P6-P7-#REF!-#REF!)</f>
      </c>
      <c r="Q14" s="37">
        <f>IF(ISBLANK(Q$1),"",Q3+Q4-Q5-Q6-Q7-#REF!-#REF!)</f>
      </c>
      <c r="R14" s="37">
        <f>IF(ISBLANK(R$1),"",R3+R4-R5-R6-R7-#REF!-#REF!)</f>
      </c>
      <c r="S14" s="37">
        <f>IF(ISBLANK(S$1),"",S3+S4-S5-S6-S7-#REF!-#REF!)</f>
      </c>
    </row>
    <row r="15">
      <c r="A15" t="s" s="13">
        <v>179</v>
      </c>
      <c r="B15" t="n" s="29">
        <f>IF(ISBLANK(B$1),"",IF(B$1+7&gt;MAX('Past transactions'!$B:$B),SUMIFS('Past transactions'!$C:$C,'Past transactions'!$E:$E,$A15,'Past transactions'!$B:$B,"&gt;="&amp;B$1),SUMIFS('Past transactions'!$C:$C,'Past transactions'!$E:$E,$A15,'Past transactions'!$B:$B,"&lt;"&amp;C$1,'Past transactions'!$B:$B,"&gt;="&amp;B$1)))</f>
        <v>0.0</v>
      </c>
      <c r="C15" t="n" s="29">
        <f>IF(ISBLANK(C$1),"",IF(C$1+7&gt;MAX('Past transactions'!$B:$B),SUMIFS('Past transactions'!$C:$C,'Past transactions'!$E:$E,$A15,'Past transactions'!$B:$B,"&gt;="&amp;C$1),SUMIFS('Past transactions'!$C:$C,'Past transactions'!$E:$E,$A15,'Past transactions'!$B:$B,"&lt;"&amp;D$1,'Past transactions'!$B:$B,"&gt;="&amp;C$1)))</f>
        <v>0.0</v>
      </c>
      <c r="D15" t="n" s="29">
        <f>IF(ISBLANK(D$1),"",IF(D$1+7&gt;MAX('Past transactions'!$B:$B),SUMIFS('Past transactions'!$C:$C,'Past transactions'!$E:$E,$A15,'Past transactions'!$B:$B,"&gt;="&amp;D$1),SUMIFS('Past transactions'!$C:$C,'Past transactions'!$E:$E,$A15,'Past transactions'!$B:$B,"&lt;"&amp;E$1,'Past transactions'!$B:$B,"&gt;="&amp;D$1)))</f>
        <v>0.0</v>
      </c>
      <c r="E15" t="n" s="29">
        <f>IF(ISBLANK(E$1),"",IF(E$1+7&gt;MAX('Past transactions'!$B:$B),SUMIFS('Past transactions'!$C:$C,'Past transactions'!$E:$E,$A15,'Past transactions'!$B:$B,"&gt;="&amp;E$1),SUMIFS('Past transactions'!$C:$C,'Past transactions'!$E:$E,$A15,'Past transactions'!$B:$B,"&lt;"&amp;F$1,'Past transactions'!$B:$B,"&gt;="&amp;E$1)))</f>
        <v>0.0</v>
      </c>
      <c r="F15" s="22">
        <f>IF(ISBLANK(F$1),"",IF(F$1+7&gt;MAX('Past transactions'!$B:$B),SUMIFS('Past transactions'!$C:$C,'Past transactions'!$E:$E,$A15,'Past transactions'!$B:$B,"&gt;="&amp;F$1),SUMIFS('Past transactions'!$C:$C,'Past transactions'!$E:$E,$A15,'Past transactions'!$B:$B,"&lt;"&amp;G$1,'Past transactions'!$B:$B,"&gt;="&amp;F$1)))</f>
      </c>
      <c r="G15" s="22">
        <f>IF(ISBLANK(G$1),"",IF(G$1+7&gt;MAX('Past transactions'!$B:$B),SUMIFS('Past transactions'!$C:$C,'Past transactions'!$E:$E,$A15,'Past transactions'!$B:$B,"&gt;="&amp;G$1),SUMIFS('Past transactions'!$C:$C,'Past transactions'!$E:$E,$A15,'Past transactions'!$B:$B,"&lt;"&amp;H$1,'Past transactions'!$B:$B,"&gt;="&amp;G$1)))</f>
      </c>
      <c r="H15" s="22">
        <f>IF(ISBLANK(H$1),"",IF(H$1+7&gt;MAX('Past transactions'!$B:$B),SUMIFS('Past transactions'!$C:$C,'Past transactions'!$E:$E,$A15,'Past transactions'!$B:$B,"&gt;="&amp;H$1),SUMIFS('Past transactions'!$C:$C,'Past transactions'!$E:$E,$A15,'Past transactions'!$B:$B,"&lt;"&amp;I$1,'Past transactions'!$B:$B,"&gt;="&amp;H$1)))</f>
      </c>
      <c r="I15" s="22">
        <f>IF(ISBLANK(I$1),"",IF(I$1+7&gt;MAX('Past transactions'!$B:$B),SUMIFS('Past transactions'!$C:$C,'Past transactions'!$E:$E,$A15,'Past transactions'!$B:$B,"&gt;="&amp;I$1),SUMIFS('Past transactions'!$C:$C,'Past transactions'!$E:$E,$A15,'Past transactions'!$B:$B,"&lt;"&amp;J$1,'Past transactions'!$B:$B,"&gt;="&amp;I$1)))</f>
      </c>
      <c r="J15" s="22">
        <f>IF(ISBLANK(J$1),"",IF(J$1+7&gt;MAX('Past transactions'!$B:$B),SUMIFS('Past transactions'!$C:$C,'Past transactions'!$E:$E,$A15,'Past transactions'!$B:$B,"&gt;="&amp;J$1),SUMIFS('Past transactions'!$C:$C,'Past transactions'!$E:$E,$A15,'Past transactions'!$B:$B,"&lt;"&amp;K$1,'Past transactions'!$B:$B,"&gt;="&amp;J$1)))</f>
      </c>
      <c r="K15" s="22">
        <f>IF(ISBLANK(K$1),"",IF(K$1+7&gt;MAX('Past transactions'!$B:$B),SUMIFS('Past transactions'!$C:$C,'Past transactions'!$E:$E,$A15,'Past transactions'!$B:$B,"&gt;="&amp;K$1),SUMIFS('Past transactions'!$C:$C,'Past transactions'!$E:$E,$A15,'Past transactions'!$B:$B,"&lt;"&amp;L$1,'Past transactions'!$B:$B,"&gt;="&amp;K$1)))</f>
      </c>
      <c r="L15" s="22">
        <f>IF(ISBLANK(L$1),"",IF(L$1+7&gt;MAX('Past transactions'!$B:$B),SUMIFS('Past transactions'!$C:$C,'Past transactions'!$E:$E,$A15,'Past transactions'!$B:$B,"&gt;="&amp;L$1),SUMIFS('Past transactions'!$C:$C,'Past transactions'!$E:$E,$A15,'Past transactions'!$B:$B,"&lt;"&amp;M$1,'Past transactions'!$B:$B,"&gt;="&amp;L$1)))</f>
      </c>
      <c r="M15" s="22">
        <f>IF(ISBLANK(M$1),"",IF(M$1+7&gt;MAX('Past transactions'!$B:$B),SUMIFS('Past transactions'!$C:$C,'Past transactions'!$E:$E,$A15,'Past transactions'!$B:$B,"&gt;="&amp;M$1),SUMIFS('Past transactions'!$C:$C,'Past transactions'!$E:$E,$A15,'Past transactions'!$B:$B,"&lt;"&amp;N$1,'Past transactions'!$B:$B,"&gt;="&amp;M$1)))</f>
      </c>
      <c r="N15" s="22">
        <f>IF(ISBLANK(N$1),"",IF(N$1+7&gt;MAX('Past transactions'!$B:$B),SUMIFS('Past transactions'!$C:$C,'Past transactions'!$E:$E,$A15,'Past transactions'!$B:$B,"&gt;="&amp;N$1),SUMIFS('Past transactions'!$C:$C,'Past transactions'!$E:$E,$A15,'Past transactions'!$B:$B,"&lt;"&amp;O$1,'Past transactions'!$B:$B,"&gt;="&amp;N$1)))</f>
      </c>
      <c r="O15" s="22">
        <f>IF(ISBLANK(O$1),"",IF(O$1+7&gt;MAX('Past transactions'!$B:$B),SUMIFS('Past transactions'!$C:$C,'Past transactions'!$E:$E,$A15,'Past transactions'!$B:$B,"&gt;="&amp;O$1),SUMIFS('Past transactions'!$C:$C,'Past transactions'!$E:$E,$A15,'Past transactions'!$B:$B,"&lt;"&amp;P$1,'Past transactions'!$B:$B,"&gt;="&amp;O$1)))</f>
      </c>
      <c r="P15" s="22">
        <f>IF(ISBLANK(P$1),"",IF(P$1+7&gt;MAX('Past transactions'!$B:$B),SUMIFS('Past transactions'!$C:$C,'Past transactions'!$E:$E,$A15,'Past transactions'!$B:$B,"&gt;="&amp;P$1),SUMIFS('Past transactions'!$C:$C,'Past transactions'!$E:$E,$A15,'Past transactions'!$B:$B,"&lt;"&amp;Q$1,'Past transactions'!$B:$B,"&gt;="&amp;P$1)))</f>
      </c>
      <c r="Q15" s="22">
        <f>IF(ISBLANK(Q$1),"",IF(Q$1+7&gt;MAX('Past transactions'!$B:$B),SUMIFS('Past transactions'!$C:$C,'Past transactions'!$E:$E,$A15,'Past transactions'!$B:$B,"&gt;="&amp;Q$1),SUMIFS('Past transactions'!$C:$C,'Past transactions'!$E:$E,$A15,'Past transactions'!$B:$B,"&lt;"&amp;R$1,'Past transactions'!$B:$B,"&gt;="&amp;Q$1)))</f>
      </c>
      <c r="R15" s="22">
        <f>IF(ISBLANK(R$1),"",IF(R$1+7&gt;MAX('Past transactions'!$B:$B),SUMIFS('Past transactions'!$C:$C,'Past transactions'!$E:$E,$A15,'Past transactions'!$B:$B,"&gt;="&amp;R$1),SUMIFS('Past transactions'!$C:$C,'Past transactions'!$E:$E,$A15,'Past transactions'!$B:$B,"&lt;"&amp;S$1,'Past transactions'!$B:$B,"&gt;="&amp;R$1)))</f>
      </c>
      <c r="S15" s="22">
        <f>IF(ISBLANK(S$1),"",IF(S$1+7&gt;MAX('Past transactions'!$B:$B),SUMIFS('Past transactions'!$C:$C,'Past transactions'!$E:$E,$A15,'Past transactions'!$B:$B,"&gt;="&amp;S$1),SUMIFS('Past transactions'!$C:$C,'Past transactions'!$E:$E,$A15,'Past transactions'!$B:$B,"&lt;"&amp;#REF!,'Past transactions'!$B:$B,"&gt;="&amp;S$1)))</f>
      </c>
    </row>
    <row r="16">
      <c r="A16" t="s" s="13">
        <v>180</v>
      </c>
      <c r="B16" t="n" s="29">
        <f>IF(ISBLANK(B$1),"",IF(B$1+7&gt;MAX('Past transactions'!$B:$B),SUMIFS('Past transactions'!$C:$C,'Past transactions'!$E:$E,$A16,'Past transactions'!$B:$B,"&gt;="&amp;B$1),SUMIFS('Past transactions'!$C:$C,'Past transactions'!$E:$E,$A16,'Past transactions'!$B:$B,"&lt;"&amp;C$1,'Past transactions'!$B:$B,"&gt;="&amp;B$1)))</f>
        <v>0.0</v>
      </c>
      <c r="C16" t="n" s="29">
        <f>IF(ISBLANK(C$1),"",IF(C$1+7&gt;MAX('Past transactions'!$B:$B),SUMIFS('Past transactions'!$C:$C,'Past transactions'!$E:$E,$A16,'Past transactions'!$B:$B,"&gt;="&amp;C$1),SUMIFS('Past transactions'!$C:$C,'Past transactions'!$E:$E,$A16,'Past transactions'!$B:$B,"&lt;"&amp;D$1,'Past transactions'!$B:$B,"&gt;="&amp;C$1)))</f>
        <v>0.0</v>
      </c>
      <c r="D16" t="n" s="29">
        <f>IF(ISBLANK(D$1),"",IF(D$1+7&gt;MAX('Past transactions'!$B:$B),SUMIFS('Past transactions'!$C:$C,'Past transactions'!$E:$E,$A16,'Past transactions'!$B:$B,"&gt;="&amp;D$1),SUMIFS('Past transactions'!$C:$C,'Past transactions'!$E:$E,$A16,'Past transactions'!$B:$B,"&lt;"&amp;E$1,'Past transactions'!$B:$B,"&gt;="&amp;D$1)))</f>
        <v>0.0</v>
      </c>
      <c r="E16" t="n" s="29">
        <f>IF(ISBLANK(E$1),"",IF(E$1+7&gt;MAX('Past transactions'!$B:$B),SUMIFS('Past transactions'!$C:$C,'Past transactions'!$E:$E,$A16,'Past transactions'!$B:$B,"&gt;="&amp;E$1),SUMIFS('Past transactions'!$C:$C,'Past transactions'!$E:$E,$A16,'Past transactions'!$B:$B,"&lt;"&amp;F$1,'Past transactions'!$B:$B,"&gt;="&amp;E$1)))</f>
        <v>0.0</v>
      </c>
      <c r="F16" s="22">
        <f>IF(ISBLANK(F$1),"",IF(F$1+7&gt;MAX('Past transactions'!$B:$B),SUMIFS('Past transactions'!$C:$C,'Past transactions'!$E:$E,$A16,'Past transactions'!$B:$B,"&gt;="&amp;F$1),SUMIFS('Past transactions'!$C:$C,'Past transactions'!$E:$E,$A16,'Past transactions'!$B:$B,"&lt;"&amp;G$1,'Past transactions'!$B:$B,"&gt;="&amp;F$1)))</f>
      </c>
      <c r="G16" s="22">
        <f>IF(ISBLANK(G$1),"",IF(G$1+7&gt;MAX('Past transactions'!$B:$B),SUMIFS('Past transactions'!$C:$C,'Past transactions'!$E:$E,$A16,'Past transactions'!$B:$B,"&gt;="&amp;G$1),SUMIFS('Past transactions'!$C:$C,'Past transactions'!$E:$E,$A16,'Past transactions'!$B:$B,"&lt;"&amp;H$1,'Past transactions'!$B:$B,"&gt;="&amp;G$1)))</f>
      </c>
      <c r="H16" s="22">
        <f>IF(ISBLANK(H$1),"",IF(H$1+7&gt;MAX('Past transactions'!$B:$B),SUMIFS('Past transactions'!$C:$C,'Past transactions'!$E:$E,$A16,'Past transactions'!$B:$B,"&gt;="&amp;H$1),SUMIFS('Past transactions'!$C:$C,'Past transactions'!$E:$E,$A16,'Past transactions'!$B:$B,"&lt;"&amp;I$1,'Past transactions'!$B:$B,"&gt;="&amp;H$1)))</f>
      </c>
      <c r="I16" s="22">
        <f>IF(ISBLANK(I$1),"",IF(I$1+7&gt;MAX('Past transactions'!$B:$B),SUMIFS('Past transactions'!$C:$C,'Past transactions'!$E:$E,$A16,'Past transactions'!$B:$B,"&gt;="&amp;I$1),SUMIFS('Past transactions'!$C:$C,'Past transactions'!$E:$E,$A16,'Past transactions'!$B:$B,"&lt;"&amp;J$1,'Past transactions'!$B:$B,"&gt;="&amp;I$1)))</f>
      </c>
      <c r="J16" s="22">
        <f>IF(ISBLANK(J$1),"",IF(J$1+7&gt;MAX('Past transactions'!$B:$B),SUMIFS('Past transactions'!$C:$C,'Past transactions'!$E:$E,$A16,'Past transactions'!$B:$B,"&gt;="&amp;J$1),SUMIFS('Past transactions'!$C:$C,'Past transactions'!$E:$E,$A16,'Past transactions'!$B:$B,"&lt;"&amp;K$1,'Past transactions'!$B:$B,"&gt;="&amp;J$1)))</f>
      </c>
      <c r="K16" s="22">
        <f>IF(ISBLANK(K$1),"",IF(K$1+7&gt;MAX('Past transactions'!$B:$B),SUMIFS('Past transactions'!$C:$C,'Past transactions'!$E:$E,$A16,'Past transactions'!$B:$B,"&gt;="&amp;K$1),SUMIFS('Past transactions'!$C:$C,'Past transactions'!$E:$E,$A16,'Past transactions'!$B:$B,"&lt;"&amp;L$1,'Past transactions'!$B:$B,"&gt;="&amp;K$1)))</f>
      </c>
      <c r="L16" s="22">
        <f>IF(ISBLANK(L$1),"",IF(L$1+7&gt;MAX('Past transactions'!$B:$B),SUMIFS('Past transactions'!$C:$C,'Past transactions'!$E:$E,$A16,'Past transactions'!$B:$B,"&gt;="&amp;L$1),SUMIFS('Past transactions'!$C:$C,'Past transactions'!$E:$E,$A16,'Past transactions'!$B:$B,"&lt;"&amp;M$1,'Past transactions'!$B:$B,"&gt;="&amp;L$1)))</f>
      </c>
      <c r="M16" s="22">
        <f>IF(ISBLANK(M$1),"",IF(M$1+7&gt;MAX('Past transactions'!$B:$B),SUMIFS('Past transactions'!$C:$C,'Past transactions'!$E:$E,$A16,'Past transactions'!$B:$B,"&gt;="&amp;M$1),SUMIFS('Past transactions'!$C:$C,'Past transactions'!$E:$E,$A16,'Past transactions'!$B:$B,"&lt;"&amp;N$1,'Past transactions'!$B:$B,"&gt;="&amp;M$1)))</f>
      </c>
      <c r="N16" s="22">
        <f>IF(ISBLANK(N$1),"",IF(N$1+7&gt;MAX('Past transactions'!$B:$B),SUMIFS('Past transactions'!$C:$C,'Past transactions'!$E:$E,$A16,'Past transactions'!$B:$B,"&gt;="&amp;N$1),SUMIFS('Past transactions'!$C:$C,'Past transactions'!$E:$E,$A16,'Past transactions'!$B:$B,"&lt;"&amp;O$1,'Past transactions'!$B:$B,"&gt;="&amp;N$1)))</f>
      </c>
      <c r="O16" s="22">
        <f>IF(ISBLANK(O$1),"",IF(O$1+7&gt;MAX('Past transactions'!$B:$B),SUMIFS('Past transactions'!$C:$C,'Past transactions'!$E:$E,$A16,'Past transactions'!$B:$B,"&gt;="&amp;O$1),SUMIFS('Past transactions'!$C:$C,'Past transactions'!$E:$E,$A16,'Past transactions'!$B:$B,"&lt;"&amp;P$1,'Past transactions'!$B:$B,"&gt;="&amp;O$1)))</f>
      </c>
      <c r="P16" s="22">
        <f>IF(ISBLANK(P$1),"",IF(P$1+7&gt;MAX('Past transactions'!$B:$B),SUMIFS('Past transactions'!$C:$C,'Past transactions'!$E:$E,$A16,'Past transactions'!$B:$B,"&gt;="&amp;P$1),SUMIFS('Past transactions'!$C:$C,'Past transactions'!$E:$E,$A16,'Past transactions'!$B:$B,"&lt;"&amp;Q$1,'Past transactions'!$B:$B,"&gt;="&amp;P$1)))</f>
      </c>
      <c r="Q16" s="22">
        <f>IF(ISBLANK(Q$1),"",IF(Q$1+7&gt;MAX('Past transactions'!$B:$B),SUMIFS('Past transactions'!$C:$C,'Past transactions'!$E:$E,$A16,'Past transactions'!$B:$B,"&gt;="&amp;Q$1),SUMIFS('Past transactions'!$C:$C,'Past transactions'!$E:$E,$A16,'Past transactions'!$B:$B,"&lt;"&amp;R$1,'Past transactions'!$B:$B,"&gt;="&amp;Q$1)))</f>
      </c>
      <c r="R16" s="22">
        <f>IF(ISBLANK(R$1),"",IF(R$1+7&gt;MAX('Past transactions'!$B:$B),SUMIFS('Past transactions'!$C:$C,'Past transactions'!$E:$E,$A16,'Past transactions'!$B:$B,"&gt;="&amp;R$1),SUMIFS('Past transactions'!$C:$C,'Past transactions'!$E:$E,$A16,'Past transactions'!$B:$B,"&lt;"&amp;S$1,'Past transactions'!$B:$B,"&gt;="&amp;R$1)))</f>
      </c>
      <c r="S16" s="22">
        <f>IF(ISBLANK(S$1),"",IF(S$1+7&gt;MAX('Past transactions'!$B:$B),SUMIFS('Past transactions'!$C:$C,'Past transactions'!$E:$E,$A16,'Past transactions'!$B:$B,"&gt;="&amp;S$1),SUMIFS('Past transactions'!$C:$C,'Past transactions'!$E:$E,$A16,'Past transactions'!$B:$B,"&lt;"&amp;#REF!,'Past transactions'!$B:$B,"&gt;="&amp;S$1)))</f>
      </c>
    </row>
    <row r="17">
      <c r="A17" t="s" s="13">
        <v>181</v>
      </c>
      <c r="B17" t="n" s="35">
        <f>IF(ISBLANK(B$1),"",B16+B15+B14)</f>
        <v>-16710.99</v>
      </c>
      <c r="C17" t="n" s="35">
        <f>IF(ISBLANK(C$1),"",C16+C15+C14)</f>
        <v>6156.1</v>
      </c>
      <c r="D17" t="n" s="35">
        <f>IF(ISBLANK(D$1),"",D16+D15+D14)</f>
        <v>-12440.86</v>
      </c>
      <c r="E17" t="n" s="35">
        <f>IF(ISBLANK(E$1),"",E16+E15+E14)</f>
        <v>15010.8</v>
      </c>
      <c r="F17" s="34">
        <f>IF(ISBLANK(F$1),"",F16+F15+F14)</f>
      </c>
      <c r="G17" s="34">
        <f>IF(ISBLANK(G$1),"",G16+G15+G14)</f>
      </c>
      <c r="H17" s="34">
        <f>IF(ISBLANK(H$1),"",H16+H15+H14)</f>
      </c>
      <c r="I17" s="34">
        <f>IF(ISBLANK(I$1),"",I16+I15+I14)</f>
      </c>
      <c r="J17" s="34">
        <f>IF(ISBLANK(J$1),"",J16+J15+J14)</f>
      </c>
      <c r="K17" s="34">
        <f>IF(ISBLANK(K$1),"",K16+K15+K14)</f>
      </c>
      <c r="L17" s="34">
        <f>IF(ISBLANK(L$1),"",L16+L15+L14)</f>
      </c>
      <c r="M17" s="34">
        <f>IF(ISBLANK(M$1),"",M16+M15+M14)</f>
      </c>
      <c r="N17" s="34">
        <f>IF(ISBLANK(N$1),"",N16+N15+N14)</f>
      </c>
      <c r="O17" s="34">
        <f>IF(ISBLANK(O$1),"",O16+O15+O14)</f>
      </c>
      <c r="P17" s="34">
        <f>IF(ISBLANK(P$1),"",P16+P15+P14)</f>
      </c>
      <c r="Q17" s="34">
        <f>IF(ISBLANK(Q$1),"",Q16+Q15+Q14)</f>
      </c>
      <c r="R17" s="34">
        <f>IF(ISBLANK(R$1),"",R16+R15+R14)</f>
      </c>
      <c r="S17" s="34">
        <f>IF(ISBLANK(S$1),"",S16+S15+S14)</f>
      </c>
    </row>
    <row r="18">
      <c r="A18" t="s" s="13">
        <v>182</v>
      </c>
      <c r="B18" t="n" s="35">
        <f>IF(ISBLANK(B$1),"",B2+B17)</f>
        <v>-16710.99</v>
      </c>
      <c r="C18" t="n" s="35">
        <f>IF(ISBLANK(C$1),"",C2+C17)</f>
        <v>-10554.89</v>
      </c>
      <c r="D18" t="n" s="35">
        <f>IF(ISBLANK(D$1),"",D2+D17)</f>
        <v>-22995.75</v>
      </c>
      <c r="E18" t="n" s="35">
        <f>IF(ISBLANK(E$1),"",E2+E17)</f>
        <v>-7984.95</v>
      </c>
      <c r="F18" s="34">
        <f>IF(ISBLANK(F$1),"",F2+F17)</f>
      </c>
      <c r="G18" s="34">
        <f>IF(ISBLANK(G$1),"",G2+G17)</f>
      </c>
      <c r="H18" s="34">
        <f>IF(ISBLANK(H$1),"",H2+H17)</f>
      </c>
      <c r="I18" s="34">
        <f>IF(ISBLANK(I$1),"",I2+I17)</f>
      </c>
      <c r="J18" s="34">
        <f>IF(ISBLANK(J$1),"",J2+J17)</f>
      </c>
      <c r="K18" s="34">
        <f>IF(ISBLANK(K$1),"",K2+K17)</f>
      </c>
      <c r="L18" s="34">
        <f>IF(ISBLANK(L$1),"",L2+L17)</f>
      </c>
      <c r="M18" s="34">
        <f>IF(ISBLANK(M$1),"",M2+M17)</f>
      </c>
      <c r="N18" s="34">
        <f>IF(ISBLANK(N$1),"",N2+N17)</f>
      </c>
      <c r="O18" s="34">
        <f>IF(ISBLANK(O$1),"",O2+O17)</f>
      </c>
      <c r="P18" s="34">
        <f>IF(ISBLANK(P$1),"",P2+P17)</f>
      </c>
      <c r="Q18" s="34">
        <f>IF(ISBLANK(Q$1),"",Q2+Q17)</f>
      </c>
      <c r="R18" s="34">
        <f>IF(ISBLANK(R$1),"",R2+R17)</f>
      </c>
      <c r="S18" s="34">
        <f>IF(ISBLANK(S$1),"",S2+S17)</f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18"/>
  <sheetViews>
    <sheetView workbookViewId="0"/>
  </sheetViews>
  <sheetFormatPr defaultRowHeight="15.0"/>
  <cols>
    <col min="1" max="1" width="26.9921875" customWidth="true"/>
    <col min="18" max="18" width="12.28125" customWidth="true"/>
    <col min="19" max="19" width="12.28125" customWidth="true"/>
    <col min="20" max="20" width="12.28125" customWidth="true"/>
    <col min="21" max="21" width="12.28125" customWidth="true"/>
    <col min="22" max="22" width="12.28125" customWidth="true"/>
    <col min="23" max="23" width="12.28125" customWidth="true"/>
    <col min="24" max="24" width="12.28125" customWidth="true"/>
    <col min="25" max="25" width="12.28125" customWidth="true"/>
    <col min="26" max="26" width="12.28125" customWidth="true"/>
    <col min="27" max="27" width="12.28125" customWidth="true"/>
    <col min="28" max="28" width="12.28125" customWidth="true"/>
    <col min="29" max="29" width="12.28125" customWidth="true"/>
    <col min="30" max="30" width="12.28125" customWidth="true"/>
    <col min="31" max="31" width="12.28125" customWidth="true"/>
    <col min="32" max="32" width="12.28125" customWidth="true"/>
    <col min="33" max="33" width="12.28125" customWidth="true"/>
    <col min="34" max="34" width="12.28125" customWidth="true"/>
    <col min="15" max="15" width="12.28125" customWidth="true"/>
    <col min="16" max="16" width="12.28125" customWidth="true"/>
    <col min="17" max="17" width="12.28125" customWidth="true"/>
  </cols>
  <sheetData>
    <row r="1">
      <c r="A1" t="s" s="32">
        <v>183</v>
      </c>
      <c r="B1" t="n" s="33">
        <f>IF(MAX('Past transactions'!B:B)=0,"",MAX('Past transactions'!B:B)-MOD(WEEKDAY(MAX('Past transactions'!B:B),2)-1,7))</f>
        <v>45831.0</v>
      </c>
      <c r="C1" t="n" s="33">
        <f>IF(ISBLANK(B1),"",B1+7)</f>
        <v>45838.0</v>
      </c>
      <c r="D1" t="n" s="33">
        <f>IF(ISBLANK(C1),"",C1+7)</f>
        <v>45845.0</v>
      </c>
      <c r="E1" t="n" s="33">
        <f>IF(ISBLANK(D1),"",D1+7)</f>
        <v>45852.0</v>
      </c>
      <c r="F1" t="n" s="33">
        <f>IF(ISBLANK(E1),"",E1+7)</f>
        <v>45859.0</v>
      </c>
      <c r="G1" t="n" s="33">
        <f>IF(ISBLANK(F1),"",F1+7)</f>
        <v>45866.0</v>
      </c>
      <c r="H1" t="n" s="33">
        <f>IF(ISBLANK(G1),"",G1+7)</f>
        <v>45873.0</v>
      </c>
      <c r="I1" t="n" s="33">
        <f>IF(ISBLANK(H1),"",H1+7)</f>
        <v>45880.0</v>
      </c>
      <c r="J1" t="n" s="33">
        <f>IF(ISBLANK(I1),"",I1+7)</f>
        <v>45887.0</v>
      </c>
      <c r="K1" t="n" s="33">
        <f>IF(ISBLANK(J1),"",J1+7)</f>
        <v>45894.0</v>
      </c>
      <c r="L1" t="n" s="33">
        <f>IF(ISBLANK(K1),"",K1+7)</f>
        <v>45901.0</v>
      </c>
      <c r="M1" t="n" s="33">
        <f>IF(ISBLANK(L1),"",L1+7)</f>
        <v>45908.0</v>
      </c>
      <c r="N1" t="n" s="33">
        <f>IF(ISBLANK(M1),"",M1+7)</f>
        <v>45915.0</v>
      </c>
      <c r="O1" t="n" s="33">
        <f>IF(ISBLANK(N1),"",N1+7)</f>
        <v>45922.0</v>
      </c>
      <c r="P1" t="n" s="33">
        <f>IF(ISBLANK(O1),"",O1+7)</f>
        <v>45929.0</v>
      </c>
      <c r="Q1" t="n" s="33">
        <f>IF(ISBLANK(P1),"",P1+7)</f>
        <v>45936.0</v>
      </c>
      <c r="R1" t="n" s="33">
        <f>IF(ISBLANK(Q1),"",Q1+7)</f>
        <v>45943.0</v>
      </c>
      <c r="S1" t="n" s="33">
        <f>IF(ISBLANK(R1),"",R1+7)</f>
        <v>45950.0</v>
      </c>
      <c r="T1" t="n" s="33">
        <f>IF(ISBLANK(S1),"",S1+7)</f>
        <v>45957.0</v>
      </c>
      <c r="U1" t="n" s="33">
        <f>IF(ISBLANK(T1),"",T1+7)</f>
        <v>45964.0</v>
      </c>
      <c r="V1" t="n" s="33">
        <f>IF(ISBLANK(U1),"",U1+7)</f>
        <v>45971.0</v>
      </c>
      <c r="W1" t="n" s="33">
        <f>IF(ISBLANK(V1),"",V1+7)</f>
        <v>45978.0</v>
      </c>
      <c r="X1" t="n" s="33">
        <f>IF(ISBLANK(W1),"",W1+7)</f>
        <v>45985.0</v>
      </c>
      <c r="Y1" t="n" s="33">
        <f>IF(ISBLANK(X1),"",X1+7)</f>
        <v>45992.0</v>
      </c>
      <c r="Z1" t="n" s="33">
        <f>IF(ISBLANK(Y1),"",Y1+7)</f>
        <v>45999.0</v>
      </c>
      <c r="AA1" t="n" s="33">
        <f>IF(ISBLANK(Z1),"",Z1+7)</f>
        <v>46006.0</v>
      </c>
      <c r="AB1" t="n" s="33">
        <f>IF(ISBLANK(AA1),"",AA1+7)</f>
        <v>46013.0</v>
      </c>
      <c r="AC1" t="n" s="33">
        <f>IF(ISBLANK(AB1),"",AB1+7)</f>
        <v>46020.0</v>
      </c>
      <c r="AD1" t="n" s="33">
        <f>IF(ISBLANK(AC1),"",AC1+7)</f>
        <v>46027.0</v>
      </c>
      <c r="AE1" t="n" s="33">
        <f>IF(ISBLANK(AD1),"",AD1+7)</f>
        <v>46034.0</v>
      </c>
      <c r="AF1" t="n" s="33">
        <f>IF(ISBLANK(AE1),"",AE1+7)</f>
        <v>46041.0</v>
      </c>
      <c r="AG1" t="n" s="33">
        <f>IF(ISBLANK(AF1),"",AF1+7)</f>
        <v>46048.0</v>
      </c>
      <c r="AH1" t="n" s="33">
        <f>IF(ISBLANK(AG1),"",AG1+7)</f>
        <v>46055.0</v>
      </c>
    </row>
    <row r="2">
      <c r="A2" t="s" s="13">
        <v>175</v>
      </c>
      <c r="B2" t="n" s="39">
        <f>51810+13655</f>
        <v>65465.0</v>
      </c>
      <c r="C2" t="n" s="40">
        <f>B16</f>
        <v>45827.9</v>
      </c>
      <c r="D2" t="n" s="40">
        <f>C16</f>
        <v>28292.92</v>
      </c>
      <c r="E2" t="n" s="40">
        <f>D16</f>
        <v>16006.5</v>
      </c>
      <c r="F2" t="n" s="40">
        <f>E16</f>
        <v>76992.49</v>
      </c>
      <c r="G2" t="n" s="40">
        <f>F16</f>
        <v>61398.0</v>
      </c>
      <c r="H2" t="n" s="40">
        <f>G16</f>
        <v>93969.85</v>
      </c>
      <c r="I2" t="n" s="40">
        <f>H16</f>
        <v>115811.46</v>
      </c>
      <c r="J2" t="n" s="40">
        <f>I16</f>
        <v>157809.46</v>
      </c>
      <c r="K2" t="n" s="40">
        <f>J16</f>
        <v>146295.88</v>
      </c>
      <c r="L2" t="n" s="40">
        <f>K16</f>
        <v>375709.18</v>
      </c>
      <c r="M2" t="n" s="40">
        <f>L16</f>
        <v>328799.8</v>
      </c>
      <c r="N2" t="n" s="40">
        <f>M16</f>
        <v>352536.27</v>
      </c>
      <c r="O2" s="21"/>
      <c r="P2" s="21"/>
      <c r="Q2" s="21"/>
    </row>
    <row r="3">
      <c r="A3" t="s" s="36">
        <v>10</v>
      </c>
      <c r="B3" t="n" s="41">
        <f><![CDATA[SUMIFS('13-week full repayment schedule'!$B:$B,'13-week full repayment schedule'!$A:$A,$A3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3)+SUMIFS('Next 13-week Accounts Payables'!$C:$C,'Next 13-week Accounts Payables'!$D:$D,">="&B$1,'Next 13-week Accounts Payables'!$D:$D,"<"&C$1,'Next 13-week Accounts Receivabl'!$E:$E,$A3)]]></f>
        <v>1962.34</v>
      </c>
      <c r="C3" t="n" s="41">
        <f><![CDATA[SUMIFS('13-week full repayment schedule'!$B:$B,'13-week full repayment schedule'!$A:$A,$A3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3)+SUMIFS('Next 13-week Accounts Payables'!$C:$C,'Next 13-week Accounts Payables'!$D:$D,">="&C$1,'Next 13-week Accounts Payables'!$D:$D,"<"&D$1,'Next 13-week Accounts Receivabl'!$E:$E,$A3)]]></f>
        <v>5057.39</v>
      </c>
      <c r="D3" t="n" s="41">
        <f><![CDATA[SUMIFS('13-week full repayment schedule'!$B:$B,'13-week full repayment schedule'!$A:$A,$A3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3)+SUMIFS('Next 13-week Accounts Payables'!$C:$C,'Next 13-week Accounts Payables'!$D:$D,">="&D$1,'Next 13-week Accounts Payables'!$D:$D,"<"&E$1,'Next 13-week Accounts Receivabl'!$E:$E,$A3)]]></f>
        <v>9313.02</v>
      </c>
      <c r="E3" t="n" s="41">
        <f><![CDATA[SUMIFS('13-week full repayment schedule'!$B:$B,'13-week full repayment schedule'!$A:$A,$A3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3)+SUMIFS('Next 13-week Accounts Payables'!$C:$C,'Next 13-week Accounts Payables'!$D:$D,">="&E$1,'Next 13-week Accounts Payables'!$D:$D,"<"&F$1,'Next 13-week Accounts Receivabl'!$E:$E,$A3)]]></f>
        <v>5666.99</v>
      </c>
      <c r="F3" t="n" s="41">
        <f><![CDATA[SUMIFS('13-week full repayment schedule'!$B:$B,'13-week full repayment schedule'!$A:$A,$A3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3)+SUMIFS('Next 13-week Accounts Payables'!$C:$C,'Next 13-week Accounts Payables'!$D:$D,">="&F$1,'Next 13-week Accounts Payables'!$D:$D,"<"&G$1,'Next 13-week Accounts Receivabl'!$E:$E,$A3)]]></f>
        <v>6004.95</v>
      </c>
      <c r="G3" t="n" s="41">
        <f><![CDATA[SUMIFS('13-week full repayment schedule'!$B:$B,'13-week full repayment schedule'!$A:$A,$A3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3)+SUMIFS('Next 13-week Accounts Payables'!$C:$C,'Next 13-week Accounts Payables'!$D:$D,">="&G$1,'Next 13-week Accounts Payables'!$D:$D,"<"&H$1,'Next 13-week Accounts Receivabl'!$E:$E,$A3)]]></f>
        <v>3933.22</v>
      </c>
      <c r="H3" t="n" s="41">
        <f><![CDATA[SUMIFS('13-week full repayment schedule'!$B:$B,'13-week full repayment schedule'!$A:$A,$A3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3)+SUMIFS('Next 13-week Accounts Payables'!$C:$C,'Next 13-week Accounts Payables'!$D:$D,">="&H$1,'Next 13-week Accounts Payables'!$D:$D,"<"&I$1,'Next 13-week Accounts Receivabl'!$E:$E,$A3)]]></f>
        <v>5941.05</v>
      </c>
      <c r="I3" t="n" s="41">
        <f><![CDATA[SUMIFS('13-week full repayment schedule'!$B:$B,'13-week full repayment schedule'!$A:$A,$A3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3)+SUMIFS('Next 13-week Accounts Payables'!$C:$C,'Next 13-week Accounts Payables'!$D:$D,">="&I$1,'Next 13-week Accounts Payables'!$D:$D,"<"&J$1,'Next 13-week Accounts Receivabl'!$E:$E,$A3)]]></f>
        <v>12085.0</v>
      </c>
      <c r="J3" t="n" s="41">
        <f><![CDATA[SUMIFS('13-week full repayment schedule'!$B:$B,'13-week full repayment schedule'!$A:$A,$A3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3)+SUMIFS('Next 13-week Accounts Payables'!$C:$C,'Next 13-week Accounts Payables'!$D:$D,">="&J$1,'Next 13-week Accounts Payables'!$D:$D,"<"&K$1,'Next 13-week Accounts Receivabl'!$E:$E,$A3)]]></f>
        <v>10085.86</v>
      </c>
      <c r="K3" t="n" s="41">
        <f><![CDATA[SUMIFS('13-week full repayment schedule'!$B:$B,'13-week full repayment schedule'!$A:$A,$A3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3)+SUMIFS('Next 13-week Accounts Payables'!$C:$C,'Next 13-week Accounts Payables'!$D:$D,">="&K$1,'Next 13-week Accounts Payables'!$D:$D,"<"&L$1,'Next 13-week Accounts Receivabl'!$E:$E,$A3)]]></f>
        <v>11117.3</v>
      </c>
      <c r="L3" t="n" s="41">
        <f><![CDATA[SUMIFS('13-week full repayment schedule'!$B:$B,'13-week full repayment schedule'!$A:$A,$A3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3)+SUMIFS('Next 13-week Accounts Payables'!$C:$C,'Next 13-week Accounts Payables'!$D:$D,">="&L$1,'Next 13-week Accounts Payables'!$D:$D,"<"&M$1,'Next 13-week Accounts Receivabl'!$E:$E,$A3)]]></f>
        <v>12378.43</v>
      </c>
      <c r="M3" t="n" s="41">
        <f><![CDATA[SUMIFS('13-week full repayment schedule'!$B:$B,'13-week full repayment schedule'!$A:$A,$A3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3)+SUMIFS('Next 13-week Accounts Payables'!$C:$C,'Next 13-week Accounts Payables'!$D:$D,">="&M$1,'Next 13-week Accounts Payables'!$D:$D,"<"&N$1,'Next 13-week Accounts Receivabl'!$E:$E,$A3)]]></f>
        <v>6255.47</v>
      </c>
      <c r="N3" t="n" s="41">
        <f><![CDATA[SUMIFS('13-week full repayment schedule'!$B:$B,'13-week full repayment schedule'!$A:$A,$A3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3)+SUMIFS('Next 13-week Accounts Payables'!$C:$C,'Next 13-week Accounts Payables'!$D:$D,">="&N$1,'Next 13-week Accounts Payables'!$D:$D,"<"&O$1,'Next 13-week Accounts Receivabl'!$E:$E,$A3)]]></f>
        <v>7220.32</v>
      </c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>
      <c r="A4" t="s" s="1">
        <v>90</v>
      </c>
      <c r="B4" t="n" s="41">
        <f><![CDATA[SUMIFS('13-week full repayment schedule'!$B:$B,'13-week full repayment schedule'!$A:$A,$A4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4)+SUMIFS('Next 13-week Accounts Payables'!$C:$C,'Next 13-week Accounts Payables'!$D:$D,">="&B$1,'Next 13-week Accounts Payables'!$D:$D,"<"&C$1,'Next 13-week Accounts Receivabl'!$E:$E,$A4)]]></f>
        <v>0.0</v>
      </c>
      <c r="C4" t="n" s="41">
        <f><![CDATA[SUMIFS('13-week full repayment schedule'!$B:$B,'13-week full repayment schedule'!$A:$A,$A4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4)+SUMIFS('Next 13-week Accounts Payables'!$C:$C,'Next 13-week Accounts Payables'!$D:$D,">="&C$1,'Next 13-week Accounts Payables'!$D:$D,"<"&D$1,'Next 13-week Accounts Receivabl'!$E:$E,$A4)]]></f>
        <v>17596.0</v>
      </c>
      <c r="D4" t="n" s="41">
        <f><![CDATA[SUMIFS('13-week full repayment schedule'!$B:$B,'13-week full repayment schedule'!$A:$A,$A4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4)+SUMIFS('Next 13-week Accounts Payables'!$C:$C,'Next 13-week Accounts Payables'!$D:$D,">="&D$1,'Next 13-week Accounts Payables'!$D:$D,"<"&E$1,'Next 13-week Accounts Receivabl'!$E:$E,$A4)]]></f>
        <v>0.0</v>
      </c>
      <c r="E4" t="n" s="41">
        <f><![CDATA[SUMIFS('13-week full repayment schedule'!$B:$B,'13-week full repayment schedule'!$A:$A,$A4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4)+SUMIFS('Next 13-week Accounts Payables'!$C:$C,'Next 13-week Accounts Payables'!$D:$D,">="&E$1,'Next 13-week Accounts Payables'!$D:$D,"<"&F$1,'Next 13-week Accounts Receivabl'!$E:$E,$A4)]]></f>
        <v>17819.0</v>
      </c>
      <c r="F4" t="n" s="41">
        <f><![CDATA[SUMIFS('13-week full repayment schedule'!$B:$B,'13-week full repayment schedule'!$A:$A,$A4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4)+SUMIFS('Next 13-week Accounts Payables'!$C:$C,'Next 13-week Accounts Payables'!$D:$D,">="&F$1,'Next 13-week Accounts Payables'!$D:$D,"<"&G$1,'Next 13-week Accounts Receivabl'!$E:$E,$A4)]]></f>
        <v>0.0</v>
      </c>
      <c r="G4" t="n" s="41">
        <f><![CDATA[SUMIFS('13-week full repayment schedule'!$B:$B,'13-week full repayment schedule'!$A:$A,$A4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4)+SUMIFS('Next 13-week Accounts Payables'!$C:$C,'Next 13-week Accounts Payables'!$D:$D,">="&G$1,'Next 13-week Accounts Payables'!$D:$D,"<"&H$1,'Next 13-week Accounts Receivabl'!$E:$E,$A4)]]></f>
        <v>41327.0</v>
      </c>
      <c r="H4" t="n" s="41">
        <f><![CDATA[SUMIFS('13-week full repayment schedule'!$B:$B,'13-week full repayment schedule'!$A:$A,$A4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4)+SUMIFS('Next 13-week Accounts Payables'!$C:$C,'Next 13-week Accounts Payables'!$D:$D,">="&H$1,'Next 13-week Accounts Payables'!$D:$D,"<"&I$1,'Next 13-week Accounts Receivabl'!$E:$E,$A4)]]></f>
        <v>0.0</v>
      </c>
      <c r="I4" t="n" s="41">
        <f><![CDATA[SUMIFS('13-week full repayment schedule'!$B:$B,'13-week full repayment schedule'!$A:$A,$A4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4)+SUMIFS('Next 13-week Accounts Payables'!$C:$C,'Next 13-week Accounts Payables'!$D:$D,">="&I$1,'Next 13-week Accounts Payables'!$D:$D,"<"&J$1,'Next 13-week Accounts Receivabl'!$E:$E,$A4)]]></f>
        <v>29913.0</v>
      </c>
      <c r="J4" t="n" s="41">
        <f><![CDATA[SUMIFS('13-week full repayment schedule'!$B:$B,'13-week full repayment schedule'!$A:$A,$A4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4)+SUMIFS('Next 13-week Accounts Payables'!$C:$C,'Next 13-week Accounts Payables'!$D:$D,">="&J$1,'Next 13-week Accounts Payables'!$D:$D,"<"&K$1,'Next 13-week Accounts Receivabl'!$E:$E,$A4)]]></f>
        <v>0.0</v>
      </c>
      <c r="K4" t="n" s="41">
        <f><![CDATA[SUMIFS('13-week full repayment schedule'!$B:$B,'13-week full repayment schedule'!$A:$A,$A4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4)+SUMIFS('Next 13-week Accounts Payables'!$C:$C,'Next 13-week Accounts Payables'!$D:$D,">="&K$1,'Next 13-week Accounts Payables'!$D:$D,"<"&L$1,'Next 13-week Accounts Receivabl'!$E:$E,$A4)]]></f>
        <v>18296.0</v>
      </c>
      <c r="L4" t="n" s="41">
        <f><![CDATA[SUMIFS('13-week full repayment schedule'!$B:$B,'13-week full repayment schedule'!$A:$A,$A4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4)+SUMIFS('Next 13-week Accounts Payables'!$C:$C,'Next 13-week Accounts Payables'!$D:$D,">="&L$1,'Next 13-week Accounts Payables'!$D:$D,"<"&M$1,'Next 13-week Accounts Receivabl'!$E:$E,$A4)]]></f>
        <v>0.0</v>
      </c>
      <c r="M4" t="n" s="41">
        <f><![CDATA[SUMIFS('13-week full repayment schedule'!$B:$B,'13-week full repayment schedule'!$A:$A,$A4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4)+SUMIFS('Next 13-week Accounts Payables'!$C:$C,'Next 13-week Accounts Payables'!$D:$D,">="&M$1,'Next 13-week Accounts Payables'!$D:$D,"<"&N$1,'Next 13-week Accounts Receivabl'!$E:$E,$A4)]]></f>
        <v>17481.0</v>
      </c>
      <c r="N4" t="n" s="41">
        <f><![CDATA[SUMIFS('13-week full repayment schedule'!$B:$B,'13-week full repayment schedule'!$A:$A,$A4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4)+SUMIFS('Next 13-week Accounts Payables'!$C:$C,'Next 13-week Accounts Payables'!$D:$D,">="&N$1,'Next 13-week Accounts Payables'!$D:$D,"<"&O$1,'Next 13-week Accounts Receivabl'!$E:$E,$A4)]]></f>
        <v>0.0</v>
      </c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>
      <c r="A5" t="s" s="1">
        <v>49</v>
      </c>
      <c r="B5" t="n" s="41">
        <f><![CDATA[SUMIFS('13-week full repayment schedule'!$B:$B,'13-week full repayment schedule'!$A:$A,$A5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5)+SUMIFS('Next 13-week Accounts Payables'!$C:$C,'Next 13-week Accounts Payables'!$D:$D,">="&B$1,'Next 13-week Accounts Payables'!$D:$D,"<"&C$1,'Next 13-week Accounts Receivabl'!$E:$E,$A5)]]></f>
        <v>0.0</v>
      </c>
      <c r="C5" t="n" s="41">
        <f><![CDATA[SUMIFS('13-week full repayment schedule'!$B:$B,'13-week full repayment schedule'!$A:$A,$A5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5)+SUMIFS('Next 13-week Accounts Payables'!$C:$C,'Next 13-week Accounts Payables'!$D:$D,">="&C$1,'Next 13-week Accounts Payables'!$D:$D,"<"&D$1,'Next 13-week Accounts Receivabl'!$E:$E,$A5)]]></f>
        <v>0.0</v>
      </c>
      <c r="D5" t="n" s="41">
        <f><![CDATA[SUMIFS('13-week full repayment schedule'!$B:$B,'13-week full repayment schedule'!$A:$A,$A5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5)+SUMIFS('Next 13-week Accounts Payables'!$C:$C,'Next 13-week Accounts Payables'!$D:$D,">="&D$1,'Next 13-week Accounts Payables'!$D:$D,"<"&E$1,'Next 13-week Accounts Receivabl'!$E:$E,$A5)]]></f>
        <v>0.0</v>
      </c>
      <c r="E5" t="n" s="41">
        <f><![CDATA[SUMIFS('13-week full repayment schedule'!$B:$B,'13-week full repayment schedule'!$A:$A,$A5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5)+SUMIFS('Next 13-week Accounts Payables'!$C:$C,'Next 13-week Accounts Payables'!$D:$D,">="&E$1,'Next 13-week Accounts Payables'!$D:$D,"<"&F$1,'Next 13-week Accounts Receivabl'!$E:$E,$A5)]]></f>
        <v>0.0</v>
      </c>
      <c r="F5" t="n" s="41">
        <f><![CDATA[SUMIFS('13-week full repayment schedule'!$B:$B,'13-week full repayment schedule'!$A:$A,$A5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5)+SUMIFS('Next 13-week Accounts Payables'!$C:$C,'Next 13-week Accounts Payables'!$D:$D,">="&F$1,'Next 13-week Accounts Payables'!$D:$D,"<"&G$1,'Next 13-week Accounts Receivabl'!$E:$E,$A5)]]></f>
        <v>0.0</v>
      </c>
      <c r="G5" t="n" s="41">
        <f><![CDATA[SUMIFS('13-week full repayment schedule'!$B:$B,'13-week full repayment schedule'!$A:$A,$A5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5)+SUMIFS('Next 13-week Accounts Payables'!$C:$C,'Next 13-week Accounts Payables'!$D:$D,">="&G$1,'Next 13-week Accounts Payables'!$D:$D,"<"&H$1,'Next 13-week Accounts Receivabl'!$E:$E,$A5)]]></f>
        <v>0.0</v>
      </c>
      <c r="H5" t="n" s="41">
        <f><![CDATA[SUMIFS('13-week full repayment schedule'!$B:$B,'13-week full repayment schedule'!$A:$A,$A5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5)+SUMIFS('Next 13-week Accounts Payables'!$C:$C,'Next 13-week Accounts Payables'!$D:$D,">="&H$1,'Next 13-week Accounts Payables'!$D:$D,"<"&I$1,'Next 13-week Accounts Receivabl'!$E:$E,$A5)]]></f>
        <v>0.0</v>
      </c>
      <c r="I5" t="n" s="41">
        <f><![CDATA[SUMIFS('13-week full repayment schedule'!$B:$B,'13-week full repayment schedule'!$A:$A,$A5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5)+SUMIFS('Next 13-week Accounts Payables'!$C:$C,'Next 13-week Accounts Payables'!$D:$D,">="&I$1,'Next 13-week Accounts Payables'!$D:$D,"<"&J$1,'Next 13-week Accounts Receivabl'!$E:$E,$A5)]]></f>
        <v>0.0</v>
      </c>
      <c r="J5" t="n" s="41">
        <f><![CDATA[SUMIFS('13-week full repayment schedule'!$B:$B,'13-week full repayment schedule'!$A:$A,$A5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5)+SUMIFS('Next 13-week Accounts Payables'!$C:$C,'Next 13-week Accounts Payables'!$D:$D,">="&J$1,'Next 13-week Accounts Payables'!$D:$D,"<"&K$1,'Next 13-week Accounts Receivabl'!$E:$E,$A5)]]></f>
        <v>0.0</v>
      </c>
      <c r="K5" t="n" s="41">
        <f><![CDATA[SUMIFS('13-week full repayment schedule'!$B:$B,'13-week full repayment schedule'!$A:$A,$A5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5)+SUMIFS('Next 13-week Accounts Payables'!$C:$C,'Next 13-week Accounts Payables'!$D:$D,">="&K$1,'Next 13-week Accounts Payables'!$D:$D,"<"&L$1,'Next 13-week Accounts Receivabl'!$E:$E,$A5)]]></f>
        <v>0.0</v>
      </c>
      <c r="L5" t="n" s="41">
        <f><![CDATA[SUMIFS('13-week full repayment schedule'!$B:$B,'13-week full repayment schedule'!$A:$A,$A5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5)+SUMIFS('Next 13-week Accounts Payables'!$C:$C,'Next 13-week Accounts Payables'!$D:$D,">="&L$1,'Next 13-week Accounts Payables'!$D:$D,"<"&M$1,'Next 13-week Accounts Receivabl'!$E:$E,$A5)]]></f>
        <v>0.0</v>
      </c>
      <c r="M5" t="n" s="41">
        <f><![CDATA[SUMIFS('13-week full repayment schedule'!$B:$B,'13-week full repayment schedule'!$A:$A,$A5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5)+SUMIFS('Next 13-week Accounts Payables'!$C:$C,'Next 13-week Accounts Payables'!$D:$D,">="&M$1,'Next 13-week Accounts Payables'!$D:$D,"<"&N$1,'Next 13-week Accounts Receivabl'!$E:$E,$A5)]]></f>
        <v>0.0</v>
      </c>
      <c r="N5" t="n" s="41">
        <f><![CDATA[SUMIFS('13-week full repayment schedule'!$B:$B,'13-week full repayment schedule'!$A:$A,$A5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5)+SUMIFS('Next 13-week Accounts Payables'!$C:$C,'Next 13-week Accounts Payables'!$D:$D,">="&N$1,'Next 13-week Accounts Payables'!$D:$D,"<"&O$1,'Next 13-week Accounts Receivabl'!$E:$E,$A5)]]></f>
        <v>0.0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>
      <c r="A6" t="s" s="1">
        <v>177</v>
      </c>
      <c r="B6" t="n" s="41">
        <f><![CDATA[SUMIFS('13-week full repayment schedule'!$B:$B,'13-week full repayment schedule'!$A:$A,$A6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6)+SUMIFS('Next 13-week Accounts Payables'!$C:$C,'Next 13-week Accounts Payables'!$D:$D,">="&B$1,'Next 13-week Accounts Payables'!$D:$D,"<"&C$1,'Next 13-week Accounts Receivabl'!$E:$E,$A6)]]></f>
        <v>0.0</v>
      </c>
      <c r="C6" t="n" s="41">
        <f><![CDATA[SUMIFS('13-week full repayment schedule'!$B:$B,'13-week full repayment schedule'!$A:$A,$A6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6)+SUMIFS('Next 13-week Accounts Payables'!$C:$C,'Next 13-week Accounts Payables'!$D:$D,">="&C$1,'Next 13-week Accounts Payables'!$D:$D,"<"&D$1,'Next 13-week Accounts Receivabl'!$E:$E,$A6)]]></f>
        <v>0.0</v>
      </c>
      <c r="D6" t="n" s="41">
        <f><![CDATA[SUMIFS('13-week full repayment schedule'!$B:$B,'13-week full repayment schedule'!$A:$A,$A6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6)+SUMIFS('Next 13-week Accounts Payables'!$C:$C,'Next 13-week Accounts Payables'!$D:$D,">="&D$1,'Next 13-week Accounts Payables'!$D:$D,"<"&E$1,'Next 13-week Accounts Receivabl'!$E:$E,$A6)]]></f>
        <v>0.0</v>
      </c>
      <c r="E6" t="n" s="41">
        <f><![CDATA[SUMIFS('13-week full repayment schedule'!$B:$B,'13-week full repayment schedule'!$A:$A,$A6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6)+SUMIFS('Next 13-week Accounts Payables'!$C:$C,'Next 13-week Accounts Payables'!$D:$D,">="&E$1,'Next 13-week Accounts Payables'!$D:$D,"<"&F$1,'Next 13-week Accounts Receivabl'!$E:$E,$A6)]]></f>
        <v>0.0</v>
      </c>
      <c r="F6" t="n" s="41">
        <f><![CDATA[SUMIFS('13-week full repayment schedule'!$B:$B,'13-week full repayment schedule'!$A:$A,$A6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6)+SUMIFS('Next 13-week Accounts Payables'!$C:$C,'Next 13-week Accounts Payables'!$D:$D,">="&F$1,'Next 13-week Accounts Payables'!$D:$D,"<"&G$1,'Next 13-week Accounts Receivabl'!$E:$E,$A6)]]></f>
        <v>0.0</v>
      </c>
      <c r="G6" t="n" s="41">
        <f><![CDATA[SUMIFS('13-week full repayment schedule'!$B:$B,'13-week full repayment schedule'!$A:$A,$A6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6)+SUMIFS('Next 13-week Accounts Payables'!$C:$C,'Next 13-week Accounts Payables'!$D:$D,">="&G$1,'Next 13-week Accounts Payables'!$D:$D,"<"&H$1,'Next 13-week Accounts Receivabl'!$E:$E,$A6)]]></f>
        <v>0.0</v>
      </c>
      <c r="H6" t="n" s="41">
        <f><![CDATA[SUMIFS('13-week full repayment schedule'!$B:$B,'13-week full repayment schedule'!$A:$A,$A6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6)+SUMIFS('Next 13-week Accounts Payables'!$C:$C,'Next 13-week Accounts Payables'!$D:$D,">="&H$1,'Next 13-week Accounts Payables'!$D:$D,"<"&I$1,'Next 13-week Accounts Receivabl'!$E:$E,$A6)]]></f>
        <v>0.0</v>
      </c>
      <c r="I6" t="n" s="41">
        <f><![CDATA[SUMIFS('13-week full repayment schedule'!$B:$B,'13-week full repayment schedule'!$A:$A,$A6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6)+SUMIFS('Next 13-week Accounts Payables'!$C:$C,'Next 13-week Accounts Payables'!$D:$D,">="&I$1,'Next 13-week Accounts Payables'!$D:$D,"<"&J$1,'Next 13-week Accounts Receivabl'!$E:$E,$A6)]]></f>
        <v>0.0</v>
      </c>
      <c r="J6" t="n" s="41">
        <f><![CDATA[SUMIFS('13-week full repayment schedule'!$B:$B,'13-week full repayment schedule'!$A:$A,$A6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6)+SUMIFS('Next 13-week Accounts Payables'!$C:$C,'Next 13-week Accounts Payables'!$D:$D,">="&J$1,'Next 13-week Accounts Payables'!$D:$D,"<"&K$1,'Next 13-week Accounts Receivabl'!$E:$E,$A6)]]></f>
        <v>0.0</v>
      </c>
      <c r="K6" t="n" s="41">
        <f><![CDATA[SUMIFS('13-week full repayment schedule'!$B:$B,'13-week full repayment schedule'!$A:$A,$A6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6)+SUMIFS('Next 13-week Accounts Payables'!$C:$C,'Next 13-week Accounts Payables'!$D:$D,">="&K$1,'Next 13-week Accounts Payables'!$D:$D,"<"&L$1,'Next 13-week Accounts Receivabl'!$E:$E,$A6)]]></f>
        <v>0.0</v>
      </c>
      <c r="L6" t="n" s="41">
        <f><![CDATA[SUMIFS('13-week full repayment schedule'!$B:$B,'13-week full repayment schedule'!$A:$A,$A6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6)+SUMIFS('Next 13-week Accounts Payables'!$C:$C,'Next 13-week Accounts Payables'!$D:$D,">="&L$1,'Next 13-week Accounts Payables'!$D:$D,"<"&M$1,'Next 13-week Accounts Receivabl'!$E:$E,$A6)]]></f>
        <v>0.0</v>
      </c>
      <c r="M6" t="n" s="41">
        <f><![CDATA[SUMIFS('13-week full repayment schedule'!$B:$B,'13-week full repayment schedule'!$A:$A,$A6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6)+SUMIFS('Next 13-week Accounts Payables'!$C:$C,'Next 13-week Accounts Payables'!$D:$D,">="&M$1,'Next 13-week Accounts Payables'!$D:$D,"<"&N$1,'Next 13-week Accounts Receivabl'!$E:$E,$A6)]]></f>
        <v>0.0</v>
      </c>
      <c r="N6" t="n" s="41">
        <f><![CDATA[SUMIFS('13-week full repayment schedule'!$B:$B,'13-week full repayment schedule'!$A:$A,$A6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6)+SUMIFS('Next 13-week Accounts Payables'!$C:$C,'Next 13-week Accounts Payables'!$D:$D,">="&N$1,'Next 13-week Accounts Payables'!$D:$D,"<"&O$1,'Next 13-week Accounts Receivabl'!$E:$E,$A6)]]></f>
        <v>0.0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</row>
    <row r="7">
      <c r="A7" t="s" s="1">
        <v>51</v>
      </c>
      <c r="B7" t="n" s="41">
        <f><![CDATA[SUMIFS('13-week full repayment schedule'!$B:$B,'13-week full repayment schedule'!$A:$A,$A7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7)+SUMIFS('Next 13-week Accounts Payables'!$C:$C,'Next 13-week Accounts Payables'!$D:$D,">="&B$1,'Next 13-week Accounts Payables'!$D:$D,"<"&C$1,'Next 13-week Accounts Receivabl'!$E:$E,$A7)]]></f>
        <v>0.0</v>
      </c>
      <c r="C7" t="n" s="41">
        <f><![CDATA[SUMIFS('13-week full repayment schedule'!$B:$B,'13-week full repayment schedule'!$A:$A,$A7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7)+SUMIFS('Next 13-week Accounts Payables'!$C:$C,'Next 13-week Accounts Payables'!$D:$D,">="&C$1,'Next 13-week Accounts Payables'!$D:$D,"<"&D$1,'Next 13-week Accounts Receivabl'!$E:$E,$A7)]]></f>
        <v>18000.0</v>
      </c>
      <c r="D7" t="n" s="41">
        <f><![CDATA[SUMIFS('13-week full repayment schedule'!$B:$B,'13-week full repayment schedule'!$A:$A,$A7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7)+SUMIFS('Next 13-week Accounts Payables'!$C:$C,'Next 13-week Accounts Payables'!$D:$D,">="&D$1,'Next 13-week Accounts Payables'!$D:$D,"<"&E$1,'Next 13-week Accounts Receivabl'!$E:$E,$A7)]]></f>
        <v>0.0</v>
      </c>
      <c r="E7" t="n" s="41">
        <f><![CDATA[SUMIFS('13-week full repayment schedule'!$B:$B,'13-week full repayment schedule'!$A:$A,$A7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7)+SUMIFS('Next 13-week Accounts Payables'!$C:$C,'Next 13-week Accounts Payables'!$D:$D,">="&E$1,'Next 13-week Accounts Payables'!$D:$D,"<"&F$1,'Next 13-week Accounts Receivabl'!$E:$E,$A7)]]></f>
        <v>0.0</v>
      </c>
      <c r="F7" t="n" s="41">
        <f><![CDATA[SUMIFS('13-week full repayment schedule'!$B:$B,'13-week full repayment schedule'!$A:$A,$A7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7)+SUMIFS('Next 13-week Accounts Payables'!$C:$C,'Next 13-week Accounts Payables'!$D:$D,">="&F$1,'Next 13-week Accounts Payables'!$D:$D,"<"&G$1,'Next 13-week Accounts Receivabl'!$E:$E,$A7)]]></f>
        <v>0.0</v>
      </c>
      <c r="G7" t="n" s="41">
        <f><![CDATA[SUMIFS('13-week full repayment schedule'!$B:$B,'13-week full repayment schedule'!$A:$A,$A7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7)+SUMIFS('Next 13-week Accounts Payables'!$C:$C,'Next 13-week Accounts Payables'!$D:$D,">="&G$1,'Next 13-week Accounts Payables'!$D:$D,"<"&H$1,'Next 13-week Accounts Receivabl'!$E:$E,$A7)]]></f>
        <v>18000.0</v>
      </c>
      <c r="H7" t="n" s="41">
        <f><![CDATA[SUMIFS('13-week full repayment schedule'!$B:$B,'13-week full repayment schedule'!$A:$A,$A7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7)+SUMIFS('Next 13-week Accounts Payables'!$C:$C,'Next 13-week Accounts Payables'!$D:$D,">="&H$1,'Next 13-week Accounts Payables'!$D:$D,"<"&I$1,'Next 13-week Accounts Receivabl'!$E:$E,$A7)]]></f>
        <v>0.0</v>
      </c>
      <c r="I7" t="n" s="41">
        <f><![CDATA[SUMIFS('13-week full repayment schedule'!$B:$B,'13-week full repayment schedule'!$A:$A,$A7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7)+SUMIFS('Next 13-week Accounts Payables'!$C:$C,'Next 13-week Accounts Payables'!$D:$D,">="&I$1,'Next 13-week Accounts Payables'!$D:$D,"<"&J$1,'Next 13-week Accounts Receivabl'!$E:$E,$A7)]]></f>
        <v>0.0</v>
      </c>
      <c r="J7" t="n" s="41">
        <f><![CDATA[SUMIFS('13-week full repayment schedule'!$B:$B,'13-week full repayment schedule'!$A:$A,$A7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7)+SUMIFS('Next 13-week Accounts Payables'!$C:$C,'Next 13-week Accounts Payables'!$D:$D,">="&J$1,'Next 13-week Accounts Payables'!$D:$D,"<"&K$1,'Next 13-week Accounts Receivabl'!$E:$E,$A7)]]></f>
        <v>0.0</v>
      </c>
      <c r="K7" t="n" s="41">
        <f><![CDATA[SUMIFS('13-week full repayment schedule'!$B:$B,'13-week full repayment schedule'!$A:$A,$A7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7)+SUMIFS('Next 13-week Accounts Payables'!$C:$C,'Next 13-week Accounts Payables'!$D:$D,">="&K$1,'Next 13-week Accounts Payables'!$D:$D,"<"&L$1,'Next 13-week Accounts Receivabl'!$E:$E,$A7)]]></f>
        <v>0.0</v>
      </c>
      <c r="L7" t="n" s="41">
        <f><![CDATA[SUMIFS('13-week full repayment schedule'!$B:$B,'13-week full repayment schedule'!$A:$A,$A7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7)+SUMIFS('Next 13-week Accounts Payables'!$C:$C,'Next 13-week Accounts Payables'!$D:$D,">="&L$1,'Next 13-week Accounts Payables'!$D:$D,"<"&M$1,'Next 13-week Accounts Receivabl'!$E:$E,$A7)]]></f>
        <v>18000.0</v>
      </c>
      <c r="M7" t="n" s="41">
        <f><![CDATA[SUMIFS('13-week full repayment schedule'!$B:$B,'13-week full repayment schedule'!$A:$A,$A7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7)+SUMIFS('Next 13-week Accounts Payables'!$C:$C,'Next 13-week Accounts Payables'!$D:$D,">="&M$1,'Next 13-week Accounts Payables'!$D:$D,"<"&N$1,'Next 13-week Accounts Receivabl'!$E:$E,$A7)]]></f>
        <v>0.0</v>
      </c>
      <c r="N7" t="n" s="41">
        <f><![CDATA[SUMIFS('13-week full repayment schedule'!$B:$B,'13-week full repayment schedule'!$A:$A,$A7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7)+SUMIFS('Next 13-week Accounts Payables'!$C:$C,'Next 13-week Accounts Payables'!$D:$D,">="&N$1,'Next 13-week Accounts Payables'!$D:$D,"<"&O$1,'Next 13-week Accounts Receivabl'!$E:$E,$A7)]]></f>
        <v>0.0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</row>
    <row r="8">
      <c r="A8" t="s" s="1">
        <v>21</v>
      </c>
      <c r="B8" t="n" s="41">
        <f><![CDATA[SUMIFS('13-week full repayment schedule'!$B:$B,'13-week full repayment schedule'!$A:$A,$A8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8)+SUMIFS('Next 13-week Accounts Payables'!$C:$C,'Next 13-week Accounts Payables'!$D:$D,">="&B$1,'Next 13-week Accounts Payables'!$D:$D,"<"&C$1,'Next 13-week Accounts Receivabl'!$E:$E,$A8)]]></f>
        <v>21599.44</v>
      </c>
      <c r="C8" t="n" s="41">
        <f><![CDATA[SUMIFS('13-week full repayment schedule'!$B:$B,'13-week full repayment schedule'!$A:$A,$A8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8)+SUMIFS('Next 13-week Accounts Payables'!$C:$C,'Next 13-week Accounts Payables'!$D:$D,">="&C$1,'Next 13-week Accounts Payables'!$D:$D,"<"&D$1,'Next 13-week Accounts Receivabl'!$E:$E,$A8)]]></f>
        <v>0.0</v>
      </c>
      <c r="D8" t="n" s="41">
        <f><![CDATA[SUMIFS('13-week full repayment schedule'!$B:$B,'13-week full repayment schedule'!$A:$A,$A8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8)+SUMIFS('Next 13-week Accounts Payables'!$C:$C,'Next 13-week Accounts Payables'!$D:$D,">="&D$1,'Next 13-week Accounts Payables'!$D:$D,"<"&E$1,'Next 13-week Accounts Receivabl'!$E:$E,$A8)]]></f>
        <v>21599.44</v>
      </c>
      <c r="E8" t="n" s="41">
        <f><![CDATA[SUMIFS('13-week full repayment schedule'!$B:$B,'13-week full repayment schedule'!$A:$A,$A8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8)+SUMIFS('Next 13-week Accounts Payables'!$C:$C,'Next 13-week Accounts Payables'!$D:$D,">="&E$1,'Next 13-week Accounts Payables'!$D:$D,"<"&F$1,'Next 13-week Accounts Receivabl'!$E:$E,$A8)]]></f>
        <v>0.0</v>
      </c>
      <c r="F8" t="n" s="41">
        <f><![CDATA[SUMIFS('13-week full repayment schedule'!$B:$B,'13-week full repayment schedule'!$A:$A,$A8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8)+SUMIFS('Next 13-week Accounts Payables'!$C:$C,'Next 13-week Accounts Payables'!$D:$D,">="&F$1,'Next 13-week Accounts Payables'!$D:$D,"<"&G$1,'Next 13-week Accounts Receivabl'!$E:$E,$A8)]]></f>
        <v>21599.44</v>
      </c>
      <c r="G8" t="n" s="41">
        <f><![CDATA[SUMIFS('13-week full repayment schedule'!$B:$B,'13-week full repayment schedule'!$A:$A,$A8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8)+SUMIFS('Next 13-week Accounts Payables'!$C:$C,'Next 13-week Accounts Payables'!$D:$D,">="&G$1,'Next 13-week Accounts Payables'!$D:$D,"<"&H$1,'Next 13-week Accounts Receivabl'!$E:$E,$A8)]]></f>
        <v>0.0</v>
      </c>
      <c r="H8" t="n" s="41">
        <f><![CDATA[SUMIFS('13-week full repayment schedule'!$B:$B,'13-week full repayment schedule'!$A:$A,$A8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8)+SUMIFS('Next 13-week Accounts Payables'!$C:$C,'Next 13-week Accounts Payables'!$D:$D,">="&H$1,'Next 13-week Accounts Payables'!$D:$D,"<"&I$1,'Next 13-week Accounts Receivabl'!$E:$E,$A8)]]></f>
        <v>21599.44</v>
      </c>
      <c r="I8" t="n" s="41">
        <f><![CDATA[SUMIFS('13-week full repayment schedule'!$B:$B,'13-week full repayment schedule'!$A:$A,$A8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8)+SUMIFS('Next 13-week Accounts Payables'!$C:$C,'Next 13-week Accounts Payables'!$D:$D,">="&I$1,'Next 13-week Accounts Payables'!$D:$D,"<"&J$1,'Next 13-week Accounts Receivabl'!$E:$E,$A8)]]></f>
        <v>0.0</v>
      </c>
      <c r="J8" t="n" s="41">
        <f><![CDATA[SUMIFS('13-week full repayment schedule'!$B:$B,'13-week full repayment schedule'!$A:$A,$A8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8)+SUMIFS('Next 13-week Accounts Payables'!$C:$C,'Next 13-week Accounts Payables'!$D:$D,">="&J$1,'Next 13-week Accounts Payables'!$D:$D,"<"&K$1,'Next 13-week Accounts Receivabl'!$E:$E,$A8)]]></f>
        <v>21599.44</v>
      </c>
      <c r="K8" t="n" s="41">
        <f><![CDATA[SUMIFS('13-week full repayment schedule'!$B:$B,'13-week full repayment schedule'!$A:$A,$A8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8)+SUMIFS('Next 13-week Accounts Payables'!$C:$C,'Next 13-week Accounts Payables'!$D:$D,">="&K$1,'Next 13-week Accounts Payables'!$D:$D,"<"&L$1,'Next 13-week Accounts Receivabl'!$E:$E,$A8)]]></f>
        <v>0.0</v>
      </c>
      <c r="L8" t="n" s="41">
        <f><![CDATA[SUMIFS('13-week full repayment schedule'!$B:$B,'13-week full repayment schedule'!$A:$A,$A8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8)+SUMIFS('Next 13-week Accounts Payables'!$C:$C,'Next 13-week Accounts Payables'!$D:$D,">="&L$1,'Next 13-week Accounts Payables'!$D:$D,"<"&M$1,'Next 13-week Accounts Receivabl'!$E:$E,$A8)]]></f>
        <v>21599.44</v>
      </c>
      <c r="M8" t="n" s="41">
        <f><![CDATA[SUMIFS('13-week full repayment schedule'!$B:$B,'13-week full repayment schedule'!$A:$A,$A8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8)+SUMIFS('Next 13-week Accounts Payables'!$C:$C,'Next 13-week Accounts Payables'!$D:$D,">="&M$1,'Next 13-week Accounts Payables'!$D:$D,"<"&N$1,'Next 13-week Accounts Receivabl'!$E:$E,$A8)]]></f>
        <v>0.0</v>
      </c>
      <c r="N8" t="n" s="41">
        <f><![CDATA[SUMIFS('13-week full repayment schedule'!$B:$B,'13-week full repayment schedule'!$A:$A,$A8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8)+SUMIFS('Next 13-week Accounts Payables'!$C:$C,'Next 13-week Accounts Payables'!$D:$D,">="&N$1,'Next 13-week Accounts Payables'!$D:$D,"<"&O$1,'Next 13-week Accounts Receivabl'!$E:$E,$A8)]]></f>
        <v>21599.44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</row>
    <row r="9">
      <c r="A9" t="s" s="1">
        <v>26</v>
      </c>
      <c r="B9" t="n" s="41">
        <f><![CDATA[SUMIFS('13-week full repayment schedule'!$B:$B,'13-week full repayment schedule'!$A:$A,$A9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9)+SUMIFS('Next 13-week Accounts Payables'!$C:$C,'Next 13-week Accounts Payables'!$D:$D,">="&B$1,'Next 13-week Accounts Payables'!$D:$D,"<"&C$1,'Next 13-week Accounts Receivabl'!$E:$E,$A9)]]></f>
        <v>0.0</v>
      </c>
      <c r="C9" t="n" s="41">
        <f><![CDATA[SUMIFS('13-week full repayment schedule'!$B:$B,'13-week full repayment schedule'!$A:$A,$A9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9)+SUMIFS('Next 13-week Accounts Payables'!$C:$C,'Next 13-week Accounts Payables'!$D:$D,">="&C$1,'Next 13-week Accounts Payables'!$D:$D,"<"&D$1,'Next 13-week Accounts Receivabl'!$E:$E,$A9)]]></f>
        <v>19688.37</v>
      </c>
      <c r="D9" t="n" s="41">
        <f><![CDATA[SUMIFS('13-week full repayment schedule'!$B:$B,'13-week full repayment schedule'!$A:$A,$A9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9)+SUMIFS('Next 13-week Accounts Payables'!$C:$C,'Next 13-week Accounts Payables'!$D:$D,">="&D$1,'Next 13-week Accounts Payables'!$D:$D,"<"&E$1,'Next 13-week Accounts Receivabl'!$E:$E,$A9)]]></f>
        <v>0.0</v>
      </c>
      <c r="E9" t="n" s="41">
        <f><![CDATA[SUMIFS('13-week full repayment schedule'!$B:$B,'13-week full repayment schedule'!$A:$A,$A9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9)+SUMIFS('Next 13-week Accounts Payables'!$C:$C,'Next 13-week Accounts Payables'!$D:$D,">="&E$1,'Next 13-week Accounts Payables'!$D:$D,"<"&F$1,'Next 13-week Accounts Receivabl'!$E:$E,$A9)]]></f>
        <v>0.0</v>
      </c>
      <c r="F9" t="n" s="41">
        <f><![CDATA[SUMIFS('13-week full repayment schedule'!$B:$B,'13-week full repayment schedule'!$A:$A,$A9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9)+SUMIFS('Next 13-week Accounts Payables'!$C:$C,'Next 13-week Accounts Payables'!$D:$D,">="&F$1,'Next 13-week Accounts Payables'!$D:$D,"<"&G$1,'Next 13-week Accounts Receivabl'!$E:$E,$A9)]]></f>
        <v>0.0</v>
      </c>
      <c r="G9" t="n" s="41">
        <f><![CDATA[SUMIFS('13-week full repayment schedule'!$B:$B,'13-week full repayment schedule'!$A:$A,$A9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9)+SUMIFS('Next 13-week Accounts Payables'!$C:$C,'Next 13-week Accounts Payables'!$D:$D,">="&G$1,'Next 13-week Accounts Payables'!$D:$D,"<"&H$1,'Next 13-week Accounts Receivabl'!$E:$E,$A9)]]></f>
        <v>19688.37</v>
      </c>
      <c r="H9" t="n" s="41">
        <f><![CDATA[SUMIFS('13-week full repayment schedule'!$B:$B,'13-week full repayment schedule'!$A:$A,$A9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9)+SUMIFS('Next 13-week Accounts Payables'!$C:$C,'Next 13-week Accounts Payables'!$D:$D,">="&H$1,'Next 13-week Accounts Payables'!$D:$D,"<"&I$1,'Next 13-week Accounts Receivabl'!$E:$E,$A9)]]></f>
        <v>0.0</v>
      </c>
      <c r="I9" t="n" s="41">
        <f><![CDATA[SUMIFS('13-week full repayment schedule'!$B:$B,'13-week full repayment schedule'!$A:$A,$A9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9)+SUMIFS('Next 13-week Accounts Payables'!$C:$C,'Next 13-week Accounts Payables'!$D:$D,">="&I$1,'Next 13-week Accounts Payables'!$D:$D,"<"&J$1,'Next 13-week Accounts Receivabl'!$E:$E,$A9)]]></f>
        <v>0.0</v>
      </c>
      <c r="J9" t="n" s="41">
        <f><![CDATA[SUMIFS('13-week full repayment schedule'!$B:$B,'13-week full repayment schedule'!$A:$A,$A9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9)+SUMIFS('Next 13-week Accounts Payables'!$C:$C,'Next 13-week Accounts Payables'!$D:$D,">="&J$1,'Next 13-week Accounts Payables'!$D:$D,"<"&K$1,'Next 13-week Accounts Receivabl'!$E:$E,$A9)]]></f>
        <v>0.0</v>
      </c>
      <c r="K9" t="n" s="41">
        <f><![CDATA[SUMIFS('13-week full repayment schedule'!$B:$B,'13-week full repayment schedule'!$A:$A,$A9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9)+SUMIFS('Next 13-week Accounts Payables'!$C:$C,'Next 13-week Accounts Payables'!$D:$D,">="&K$1,'Next 13-week Accounts Payables'!$D:$D,"<"&L$1,'Next 13-week Accounts Receivabl'!$E:$E,$A9)]]></f>
        <v>0.0</v>
      </c>
      <c r="L9" t="n" s="41">
        <f><![CDATA[SUMIFS('13-week full repayment schedule'!$B:$B,'13-week full repayment schedule'!$A:$A,$A9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9)+SUMIFS('Next 13-week Accounts Payables'!$C:$C,'Next 13-week Accounts Payables'!$D:$D,">="&L$1,'Next 13-week Accounts Payables'!$D:$D,"<"&M$1,'Next 13-week Accounts Receivabl'!$E:$E,$A9)]]></f>
        <v>19688.37</v>
      </c>
      <c r="M9" t="n" s="41">
        <f><![CDATA[SUMIFS('13-week full repayment schedule'!$B:$B,'13-week full repayment schedule'!$A:$A,$A9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9)+SUMIFS('Next 13-week Accounts Payables'!$C:$C,'Next 13-week Accounts Payables'!$D:$D,">="&M$1,'Next 13-week Accounts Payables'!$D:$D,"<"&N$1,'Next 13-week Accounts Receivabl'!$E:$E,$A9)]]></f>
        <v>0.0</v>
      </c>
      <c r="N9" t="n" s="41">
        <f><![CDATA[SUMIFS('13-week full repayment schedule'!$B:$B,'13-week full repayment schedule'!$A:$A,$A9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9)+SUMIFS('Next 13-week Accounts Payables'!$C:$C,'Next 13-week Accounts Payables'!$D:$D,">="&N$1,'Next 13-week Accounts Payables'!$D:$D,"<"&O$1,'Next 13-week Accounts Receivabl'!$E:$E,$A9)]]></f>
        <v>0.0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>
      <c r="A10" t="s" s="36">
        <v>139</v>
      </c>
      <c r="B10" t="n" s="41">
        <f><![CDATA[SUMIFS('13-week full repayment schedule'!$B:$B,'13-week full repayment schedule'!$A:$A,$A10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10)+SUMIFS('Next 13-week Accounts Payables'!$C:$C,'Next 13-week Accounts Payables'!$D:$D,">="&B$1,'Next 13-week Accounts Payables'!$D:$D,"<"&C$1,'Next 13-week Accounts Receivabl'!$E:$E,$A10)]]></f>
        <v>0.0</v>
      </c>
      <c r="C10" t="n" s="41">
        <f><![CDATA[SUMIFS('13-week full repayment schedule'!$B:$B,'13-week full repayment schedule'!$A:$A,$A10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10)+SUMIFS('Next 13-week Accounts Payables'!$C:$C,'Next 13-week Accounts Payables'!$D:$D,">="&C$1,'Next 13-week Accounts Payables'!$D:$D,"<"&D$1,'Next 13-week Accounts Receivabl'!$E:$E,$A10)]]></f>
        <v>2500.0</v>
      </c>
      <c r="D10" t="n" s="41">
        <f><![CDATA[SUMIFS('13-week full repayment schedule'!$B:$B,'13-week full repayment schedule'!$A:$A,$A10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10)+SUMIFS('Next 13-week Accounts Payables'!$C:$C,'Next 13-week Accounts Payables'!$D:$D,">="&D$1,'Next 13-week Accounts Payables'!$D:$D,"<"&E$1,'Next 13-week Accounts Receivabl'!$E:$E,$A10)]]></f>
        <v>0.0</v>
      </c>
      <c r="E10" t="n" s="41">
        <f><![CDATA[SUMIFS('13-week full repayment schedule'!$B:$B,'13-week full repayment schedule'!$A:$A,$A10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10)+SUMIFS('Next 13-week Accounts Payables'!$C:$C,'Next 13-week Accounts Payables'!$D:$D,">="&E$1,'Next 13-week Accounts Payables'!$D:$D,"<"&F$1,'Next 13-week Accounts Receivabl'!$E:$E,$A10)]]></f>
        <v>0.0</v>
      </c>
      <c r="F10" t="n" s="41">
        <f><![CDATA[SUMIFS('13-week full repayment schedule'!$B:$B,'13-week full repayment schedule'!$A:$A,$A10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10)+SUMIFS('Next 13-week Accounts Payables'!$C:$C,'Next 13-week Accounts Payables'!$D:$D,">="&F$1,'Next 13-week Accounts Payables'!$D:$D,"<"&G$1,'Next 13-week Accounts Receivabl'!$E:$E,$A10)]]></f>
        <v>0.0</v>
      </c>
      <c r="G10" t="n" s="41">
        <f><![CDATA[SUMIFS('13-week full repayment schedule'!$B:$B,'13-week full repayment schedule'!$A:$A,$A10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10)+SUMIFS('Next 13-week Accounts Payables'!$C:$C,'Next 13-week Accounts Payables'!$D:$D,">="&G$1,'Next 13-week Accounts Payables'!$D:$D,"<"&H$1,'Next 13-week Accounts Receivabl'!$E:$E,$A10)]]></f>
        <v>0.0</v>
      </c>
      <c r="H10" t="n" s="41">
        <f><![CDATA[SUMIFS('13-week full repayment schedule'!$B:$B,'13-week full repayment schedule'!$A:$A,$A10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10)+SUMIFS('Next 13-week Accounts Payables'!$C:$C,'Next 13-week Accounts Payables'!$D:$D,">="&H$1,'Next 13-week Accounts Payables'!$D:$D,"<"&I$1,'Next 13-week Accounts Receivabl'!$E:$E,$A10)]]></f>
        <v>0.0</v>
      </c>
      <c r="I10" t="n" s="41">
        <f><![CDATA[SUMIFS('13-week full repayment schedule'!$B:$B,'13-week full repayment schedule'!$A:$A,$A10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10)+SUMIFS('Next 13-week Accounts Payables'!$C:$C,'Next 13-week Accounts Payables'!$D:$D,">="&I$1,'Next 13-week Accounts Payables'!$D:$D,"<"&J$1,'Next 13-week Accounts Receivabl'!$E:$E,$A10)]]></f>
        <v>0.0</v>
      </c>
      <c r="J10" t="n" s="41">
        <f><![CDATA[SUMIFS('13-week full repayment schedule'!$B:$B,'13-week full repayment schedule'!$A:$A,$A10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10)+SUMIFS('Next 13-week Accounts Payables'!$C:$C,'Next 13-week Accounts Payables'!$D:$D,">="&J$1,'Next 13-week Accounts Payables'!$D:$D,"<"&K$1,'Next 13-week Accounts Receivabl'!$E:$E,$A10)]]></f>
        <v>0.0</v>
      </c>
      <c r="K10" t="n" s="41">
        <f><![CDATA[SUMIFS('13-week full repayment schedule'!$B:$B,'13-week full repayment schedule'!$A:$A,$A10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10)+SUMIFS('Next 13-week Accounts Payables'!$C:$C,'Next 13-week Accounts Payables'!$D:$D,">="&K$1,'Next 13-week Accounts Payables'!$D:$D,"<"&L$1,'Next 13-week Accounts Receivabl'!$E:$E,$A10)]]></f>
        <v>0.0</v>
      </c>
      <c r="L10" t="n" s="41">
        <f><![CDATA[SUMIFS('13-week full repayment schedule'!$B:$B,'13-week full repayment schedule'!$A:$A,$A10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10)+SUMIFS('Next 13-week Accounts Payables'!$C:$C,'Next 13-week Accounts Payables'!$D:$D,">="&L$1,'Next 13-week Accounts Payables'!$D:$D,"<"&M$1,'Next 13-week Accounts Receivabl'!$E:$E,$A10)]]></f>
        <v>0.0</v>
      </c>
      <c r="M10" t="n" s="41">
        <f><![CDATA[SUMIFS('13-week full repayment schedule'!$B:$B,'13-week full repayment schedule'!$A:$A,$A10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10)+SUMIFS('Next 13-week Accounts Payables'!$C:$C,'Next 13-week Accounts Payables'!$D:$D,">="&M$1,'Next 13-week Accounts Payables'!$D:$D,"<"&N$1,'Next 13-week Accounts Receivabl'!$E:$E,$A10)]]></f>
        <v>0.0</v>
      </c>
      <c r="N10" t="n" s="41">
        <f><![CDATA[SUMIFS('13-week full repayment schedule'!$B:$B,'13-week full repayment schedule'!$A:$A,$A10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10)+SUMIFS('Next 13-week Accounts Payables'!$C:$C,'Next 13-week Accounts Payables'!$D:$D,">="&N$1,'Next 13-week Accounts Payables'!$D:$D,"<"&O$1,'Next 13-week Accounts Receivabl'!$E:$E,$A10)]]></f>
        <v>0.0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</row>
    <row r="11">
      <c r="A11" t="s" s="36">
        <v>15</v>
      </c>
      <c r="B11" t="n" s="41">
        <f><![CDATA[SUMIFS('13-week full repayment schedule'!$B:$B,'13-week full repayment schedule'!$A:$A,$A11,'13-week full repayment schedule'!$E:$E,">="&B$1,'13-week full repayment schedule'!$E:$E,"<"&C$1)-SUMIFS('Next 13-week Accounts Receivabl'!$C:$C,'Next 13-week Accounts Receivabl'!$D:$D,">="&B$1,'Next 13-week Accounts Receivabl'!$D:$D,"<"&C$1,'Next 13-week Accounts Receivabl'!$E:$E,$A11)+SUMIFS('Next 13-week Accounts Payables'!$C:$C,'Next 13-week Accounts Payables'!$D:$D,">="&B$1,'Next 13-week Accounts Payables'!$D:$D,"<"&C$1,'Next 13-week Accounts Receivabl'!$E:$E,$A11)]]></f>
        <v>0.0</v>
      </c>
      <c r="C11" t="n" s="41">
        <f><![CDATA[SUMIFS('13-week full repayment schedule'!$B:$B,'13-week full repayment schedule'!$A:$A,$A11,'13-week full repayment schedule'!$E:$E,">="&C$1,'13-week full repayment schedule'!$E:$E,"<"&D$1)-SUMIFS('Next 13-week Accounts Receivabl'!$C:$C,'Next 13-week Accounts Receivabl'!$D:$D,">="&C$1,'Next 13-week Accounts Receivabl'!$D:$D,"<"&D$1,'Next 13-week Accounts Receivabl'!$E:$E,$A11)+SUMIFS('Next 13-week Accounts Payables'!$C:$C,'Next 13-week Accounts Payables'!$D:$D,">="&C$1,'Next 13-week Accounts Payables'!$D:$D,"<"&D$1,'Next 13-week Accounts Receivabl'!$E:$E,$A11)]]></f>
        <v>0.0</v>
      </c>
      <c r="D11" t="n" s="41">
        <f><![CDATA[SUMIFS('13-week full repayment schedule'!$B:$B,'13-week full repayment schedule'!$A:$A,$A11,'13-week full repayment schedule'!$E:$E,">="&D$1,'13-week full repayment schedule'!$E:$E,"<"&E$1)-SUMIFS('Next 13-week Accounts Receivabl'!$C:$C,'Next 13-week Accounts Receivabl'!$D:$D,">="&D$1,'Next 13-week Accounts Receivabl'!$D:$D,"<"&E$1,'Next 13-week Accounts Receivabl'!$E:$E,$A11)+SUMIFS('Next 13-week Accounts Payables'!$C:$C,'Next 13-week Accounts Payables'!$D:$D,">="&D$1,'Next 13-week Accounts Payables'!$D:$D,"<"&E$1,'Next 13-week Accounts Receivabl'!$E:$E,$A11)]]></f>
        <v>0.0</v>
      </c>
      <c r="E11" t="n" s="41">
        <f><![CDATA[SUMIFS('13-week full repayment schedule'!$B:$B,'13-week full repayment schedule'!$A:$A,$A11,'13-week full repayment schedule'!$E:$E,">="&E$1,'13-week full repayment schedule'!$E:$E,"<"&F$1)-SUMIFS('Next 13-week Accounts Receivabl'!$C:$C,'Next 13-week Accounts Receivabl'!$D:$D,">="&E$1,'Next 13-week Accounts Receivabl'!$D:$D,"<"&F$1,'Next 13-week Accounts Receivabl'!$E:$E,$A11)+SUMIFS('Next 13-week Accounts Payables'!$C:$C,'Next 13-week Accounts Payables'!$D:$D,">="&E$1,'Next 13-week Accounts Payables'!$D:$D,"<"&F$1,'Next 13-week Accounts Receivabl'!$E:$E,$A11)]]></f>
        <v>0.0</v>
      </c>
      <c r="F11" t="n" s="41">
        <f><![CDATA[SUMIFS('13-week full repayment schedule'!$B:$B,'13-week full repayment schedule'!$A:$A,$A11,'13-week full repayment schedule'!$E:$E,">="&F$1,'13-week full repayment schedule'!$E:$E,"<"&G$1)-SUMIFS('Next 13-week Accounts Receivabl'!$C:$C,'Next 13-week Accounts Receivabl'!$D:$D,">="&F$1,'Next 13-week Accounts Receivabl'!$D:$D,"<"&G$1,'Next 13-week Accounts Receivabl'!$E:$E,$A11)+SUMIFS('Next 13-week Accounts Payables'!$C:$C,'Next 13-week Accounts Payables'!$D:$D,">="&F$1,'Next 13-week Accounts Payables'!$D:$D,"<"&G$1,'Next 13-week Accounts Receivabl'!$E:$E,$A11)]]></f>
        <v>0.0</v>
      </c>
      <c r="G11" t="n" s="41">
        <f><![CDATA[SUMIFS('13-week full repayment schedule'!$B:$B,'13-week full repayment schedule'!$A:$A,$A11,'13-week full repayment schedule'!$E:$E,">="&G$1,'13-week full repayment schedule'!$E:$E,"<"&H$1)-SUMIFS('Next 13-week Accounts Receivabl'!$C:$C,'Next 13-week Accounts Receivabl'!$D:$D,">="&G$1,'Next 13-week Accounts Receivabl'!$D:$D,"<"&H$1,'Next 13-week Accounts Receivabl'!$E:$E,$A11)+SUMIFS('Next 13-week Accounts Payables'!$C:$C,'Next 13-week Accounts Payables'!$D:$D,">="&G$1,'Next 13-week Accounts Payables'!$D:$D,"<"&H$1,'Next 13-week Accounts Receivabl'!$E:$E,$A11)]]></f>
        <v>0.0</v>
      </c>
      <c r="H11" t="n" s="41">
        <f><![CDATA[SUMIFS('13-week full repayment schedule'!$B:$B,'13-week full repayment schedule'!$A:$A,$A11,'13-week full repayment schedule'!$E:$E,">="&H$1,'13-week full repayment schedule'!$E:$E,"<"&I$1)-SUMIFS('Next 13-week Accounts Receivabl'!$C:$C,'Next 13-week Accounts Receivabl'!$D:$D,">="&H$1,'Next 13-week Accounts Receivabl'!$D:$D,"<"&I$1,'Next 13-week Accounts Receivabl'!$E:$E,$A11)+SUMIFS('Next 13-week Accounts Payables'!$C:$C,'Next 13-week Accounts Payables'!$D:$D,">="&H$1,'Next 13-week Accounts Payables'!$D:$D,"<"&I$1,'Next 13-week Accounts Receivabl'!$E:$E,$A11)]]></f>
        <v>0.0</v>
      </c>
      <c r="I11" t="n" s="41">
        <f><![CDATA[SUMIFS('13-week full repayment schedule'!$B:$B,'13-week full repayment schedule'!$A:$A,$A11,'13-week full repayment schedule'!$E:$E,">="&I$1,'13-week full repayment schedule'!$E:$E,"<"&J$1)-SUMIFS('Next 13-week Accounts Receivabl'!$C:$C,'Next 13-week Accounts Receivabl'!$D:$D,">="&I$1,'Next 13-week Accounts Receivabl'!$D:$D,"<"&J$1,'Next 13-week Accounts Receivabl'!$E:$E,$A11)+SUMIFS('Next 13-week Accounts Payables'!$C:$C,'Next 13-week Accounts Payables'!$D:$D,">="&I$1,'Next 13-week Accounts Payables'!$D:$D,"<"&J$1,'Next 13-week Accounts Receivabl'!$E:$E,$A11)]]></f>
        <v>0.0</v>
      </c>
      <c r="J11" t="n" s="41">
        <f><![CDATA[SUMIFS('13-week full repayment schedule'!$B:$B,'13-week full repayment schedule'!$A:$A,$A11,'13-week full repayment schedule'!$E:$E,">="&J$1,'13-week full repayment schedule'!$E:$E,"<"&K$1)-SUMIFS('Next 13-week Accounts Receivabl'!$C:$C,'Next 13-week Accounts Receivabl'!$D:$D,">="&J$1,'Next 13-week Accounts Receivabl'!$D:$D,"<"&K$1,'Next 13-week Accounts Receivabl'!$E:$E,$A11)+SUMIFS('Next 13-week Accounts Payables'!$C:$C,'Next 13-week Accounts Payables'!$D:$D,">="&J$1,'Next 13-week Accounts Payables'!$D:$D,"<"&K$1,'Next 13-week Accounts Receivabl'!$E:$E,$A11)]]></f>
        <v>0.0</v>
      </c>
      <c r="K11" t="n" s="41">
        <f><![CDATA[SUMIFS('13-week full repayment schedule'!$B:$B,'13-week full repayment schedule'!$A:$A,$A11,'13-week full repayment schedule'!$E:$E,">="&K$1,'13-week full repayment schedule'!$E:$E,"<"&L$1)-SUMIFS('Next 13-week Accounts Receivabl'!$C:$C,'Next 13-week Accounts Receivabl'!$D:$D,">="&K$1,'Next 13-week Accounts Receivabl'!$D:$D,"<"&L$1,'Next 13-week Accounts Receivabl'!$E:$E,$A11)+SUMIFS('Next 13-week Accounts Payables'!$C:$C,'Next 13-week Accounts Payables'!$D:$D,">="&K$1,'Next 13-week Accounts Payables'!$D:$D,"<"&L$1,'Next 13-week Accounts Receivabl'!$E:$E,$A11)]]></f>
        <v>0.0</v>
      </c>
      <c r="L11" t="n" s="41">
        <f><![CDATA[SUMIFS('13-week full repayment schedule'!$B:$B,'13-week full repayment schedule'!$A:$A,$A11,'13-week full repayment schedule'!$E:$E,">="&L$1,'13-week full repayment schedule'!$E:$E,"<"&M$1)-SUMIFS('Next 13-week Accounts Receivabl'!$C:$C,'Next 13-week Accounts Receivabl'!$D:$D,">="&L$1,'Next 13-week Accounts Receivabl'!$D:$D,"<"&M$1,'Next 13-week Accounts Receivabl'!$E:$E,$A11)+SUMIFS('Next 13-week Accounts Payables'!$C:$C,'Next 13-week Accounts Payables'!$D:$D,">="&L$1,'Next 13-week Accounts Payables'!$D:$D,"<"&M$1,'Next 13-week Accounts Receivabl'!$E:$E,$A11)]]></f>
        <v>0.0</v>
      </c>
      <c r="M11" t="n" s="41">
        <f><![CDATA[SUMIFS('13-week full repayment schedule'!$B:$B,'13-week full repayment schedule'!$A:$A,$A11,'13-week full repayment schedule'!$E:$E,">="&M$1,'13-week full repayment schedule'!$E:$E,"<"&N$1)-SUMIFS('Next 13-week Accounts Receivabl'!$C:$C,'Next 13-week Accounts Receivabl'!$D:$D,">="&M$1,'Next 13-week Accounts Receivabl'!$D:$D,"<"&N$1,'Next 13-week Accounts Receivabl'!$E:$E,$A11)+SUMIFS('Next 13-week Accounts Payables'!$C:$C,'Next 13-week Accounts Payables'!$D:$D,">="&M$1,'Next 13-week Accounts Payables'!$D:$D,"<"&N$1,'Next 13-week Accounts Receivabl'!$E:$E,$A11)]]></f>
        <v>0.0</v>
      </c>
      <c r="N11" t="n" s="41">
        <f><![CDATA[SUMIFS('13-week full repayment schedule'!$B:$B,'13-week full repayment schedule'!$A:$A,$A11,'13-week full repayment schedule'!$E:$E,">="&N$1,'13-week full repayment schedule'!$E:$E,"<"&O$1)-SUMIFS('Next 13-week Accounts Receivabl'!$C:$C,'Next 13-week Accounts Receivabl'!$D:$D,">="&N$1,'Next 13-week Accounts Receivabl'!$D:$D,"<"&O$1,'Next 13-week Accounts Receivabl'!$E:$E,$A11)+SUMIFS('Next 13-week Accounts Payables'!$C:$C,'Next 13-week Accounts Payables'!$D:$D,">="&N$1,'Next 13-week Accounts Payables'!$D:$D,"<"&O$1,'Next 13-week Accounts Receivabl'!$E:$E,$A11)]]></f>
        <v>0.0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</row>
    <row r="12">
      <c r="A12" t="s" s="13">
        <v>178</v>
      </c>
      <c r="B12" t="n" s="43">
        <f>B3+B4+B5-sum(B6:B11)</f>
        <v>-19637.1</v>
      </c>
      <c r="C12" t="n" s="43">
        <f>C3+C4-sum(C6:C11)</f>
        <v>-17534.98</v>
      </c>
      <c r="D12" t="n" s="43">
        <f>D3+D4-sum(D6:D11)</f>
        <v>-12286.42</v>
      </c>
      <c r="E12" t="n" s="43">
        <f>E3+E4-sum(E6:E11)</f>
        <v>23485.99</v>
      </c>
      <c r="F12" t="n" s="43">
        <f>F3+F4-sum(F6:F11)</f>
        <v>-15594.49</v>
      </c>
      <c r="G12" t="n" s="43">
        <f>G3+G4-sum(G6:G11)</f>
        <v>7571.85</v>
      </c>
      <c r="H12" t="n" s="43">
        <f>H3+H4-sum(H6:H11)</f>
        <v>-15658.39</v>
      </c>
      <c r="I12" t="n" s="43">
        <f>I3+I4-sum(I6:I11)</f>
        <v>41998.0</v>
      </c>
      <c r="J12" t="n" s="43">
        <f>J3+J4-sum(J6:J11)</f>
        <v>-11513.58</v>
      </c>
      <c r="K12" t="n" s="43">
        <f>K3+K4-sum(K6:K11)</f>
        <v>29413.3</v>
      </c>
      <c r="L12" t="n" s="43">
        <f>L3+L4-sum(L6:L11)</f>
        <v>-46909.38</v>
      </c>
      <c r="M12" t="n" s="43">
        <f>M3+M4-sum(M6:M11)</f>
        <v>23736.47</v>
      </c>
      <c r="N12" t="n" s="43">
        <f>N3+N4-sum(N6:N11)</f>
        <v>-14379.12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>
      <c r="A13" t="s" s="36">
        <v>179</v>
      </c>
      <c r="B13" t="n" s="41">
        <v>0.0</v>
      </c>
      <c r="C13" t="n" s="41">
        <v>0.0</v>
      </c>
      <c r="D13" t="n" s="41">
        <v>0.0</v>
      </c>
      <c r="E13" t="n" s="41">
        <v>0.0</v>
      </c>
      <c r="F13" s="42"/>
      <c r="G13" t="n" s="41">
        <v>25000.0</v>
      </c>
      <c r="H13" t="n" s="41">
        <v>0.0</v>
      </c>
      <c r="I13" t="n" s="41">
        <v>0.0</v>
      </c>
      <c r="J13" t="n" s="41">
        <v>0.0</v>
      </c>
      <c r="K13" t="n" s="41">
        <v>200000.0</v>
      </c>
      <c r="L13" t="n" s="41">
        <v>0.0</v>
      </c>
      <c r="M13" t="n" s="41">
        <v>0.0</v>
      </c>
      <c r="N13" t="n" s="41">
        <v>0.0</v>
      </c>
      <c r="O13" s="44"/>
      <c r="P13" s="44"/>
      <c r="Q13" s="44"/>
    </row>
    <row r="14">
      <c r="A14" t="s" s="36">
        <v>180</v>
      </c>
      <c r="B14" t="n" s="41">
        <v>0.0</v>
      </c>
      <c r="C14" t="n" s="41">
        <v>0.0</v>
      </c>
      <c r="D14" t="n" s="41">
        <v>0.0</v>
      </c>
      <c r="E14" t="n" s="41">
        <v>0.0</v>
      </c>
      <c r="F14" t="n" s="41">
        <v>37500.0</v>
      </c>
      <c r="G14" t="n" s="41">
        <v>0.0</v>
      </c>
      <c r="H14" t="n" s="41">
        <v>37500.0</v>
      </c>
      <c r="I14" t="n" s="41">
        <v>0.0</v>
      </c>
      <c r="J14" t="n" s="41">
        <v>0.0</v>
      </c>
      <c r="K14" t="n" s="41">
        <v>0.0</v>
      </c>
      <c r="L14" t="n" s="41">
        <v>0.0</v>
      </c>
      <c r="M14" t="n" s="41">
        <v>0.0</v>
      </c>
      <c r="N14" t="n" s="41">
        <v>0.0</v>
      </c>
      <c r="O14" s="44"/>
      <c r="P14" s="44"/>
      <c r="Q14" s="44"/>
    </row>
    <row r="15">
      <c r="A15" t="s" s="13">
        <v>181</v>
      </c>
      <c r="B15" t="n" s="43">
        <f>B12+B13+B14</f>
        <v>-19637.1</v>
      </c>
      <c r="C15" t="n" s="43">
        <f>C12+C13+C14</f>
        <v>-17534.98</v>
      </c>
      <c r="D15" t="n" s="43">
        <f>D12+D13+D14</f>
        <v>-12286.42</v>
      </c>
      <c r="E15" t="n" s="43">
        <f>E12+E13+F14</f>
        <v>60985.99</v>
      </c>
      <c r="F15" t="n" s="43">
        <f>F12+F13+G14</f>
        <v>-15594.49</v>
      </c>
      <c r="G15" t="n" s="43">
        <f>G12+G13+G14</f>
        <v>32571.85</v>
      </c>
      <c r="H15" t="n" s="43">
        <f>H12+H13+H14</f>
        <v>21841.61</v>
      </c>
      <c r="I15" t="n" s="43">
        <f>I12+I13+I14</f>
        <v>41998.0</v>
      </c>
      <c r="J15" t="n" s="43">
        <f>J12+J13+J14</f>
        <v>-11513.58</v>
      </c>
      <c r="K15" t="n" s="43">
        <f>K12+K13+K14</f>
        <v>229413.3</v>
      </c>
      <c r="L15" t="n" s="43">
        <f>L12+L13+L14</f>
        <v>-46909.38</v>
      </c>
      <c r="M15" t="n" s="43">
        <f>M12+M13+M14</f>
        <v>23736.47</v>
      </c>
      <c r="N15" t="n" s="43">
        <f>N12+N13+N14</f>
        <v>-14379.12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>
      <c r="A16" t="s" s="13">
        <v>182</v>
      </c>
      <c r="B16" t="n" s="40">
        <f>B2+B15</f>
        <v>45827.9</v>
      </c>
      <c r="C16" t="n" s="40">
        <f>C2+C15</f>
        <v>28292.92</v>
      </c>
      <c r="D16" t="n" s="40">
        <f>D2+D15</f>
        <v>16006.5</v>
      </c>
      <c r="E16" t="n" s="40">
        <f>E2+E15</f>
        <v>76992.49</v>
      </c>
      <c r="F16" t="n" s="40">
        <f>F2+F15</f>
        <v>61398.0</v>
      </c>
      <c r="G16" t="n" s="40">
        <f>G2+G15</f>
        <v>93969.85</v>
      </c>
      <c r="H16" t="n" s="40">
        <f>H2+H15</f>
        <v>115811.46</v>
      </c>
      <c r="I16" t="n" s="40">
        <f>I2+I15</f>
        <v>157809.46</v>
      </c>
      <c r="J16" t="n" s="40">
        <f>J2+J15</f>
        <v>146295.88</v>
      </c>
      <c r="K16" t="n" s="40">
        <f>K2+K15</f>
        <v>375709.18</v>
      </c>
      <c r="L16" t="n" s="40">
        <f>L2+L15</f>
        <v>328799.8</v>
      </c>
      <c r="M16" t="n" s="40">
        <f>M2+M15</f>
        <v>352536.27</v>
      </c>
      <c r="N16" t="n" s="40">
        <f>N2+N15</f>
        <v>338157.15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>
      <c r="A17" s="1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>
      <c r="A18" s="1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4"/>
  <sheetViews>
    <sheetView workbookViewId="0"/>
  </sheetViews>
  <sheetFormatPr defaultRowHeight="15.0"/>
  <cols>
    <col min="1" max="1" width="24.70703125" customWidth="true"/>
  </cols>
  <sheetData>
    <row r="1">
      <c r="A1" t="n" s="46">
        <f>'13-week CF Forecast'!B1</f>
        <v>45831.0</v>
      </c>
      <c r="B1" t="s" s="47">
        <v>184</v>
      </c>
      <c r="C1" t="s" s="47">
        <v>185</v>
      </c>
      <c r="D1" t="s" s="47">
        <v>186</v>
      </c>
    </row>
    <row r="2">
      <c r="A2" t="s" s="13">
        <v>175</v>
      </c>
      <c r="B2" t="n" s="17">
        <f>IFERROR(ROWSDUMMYFUNCTION(IF(ISBLANK($A$1),"",IFERROR(XYLOOKUP('13-week CF Forecast'!$A:$ON,A2,$A$1),""))),"65465")</f>
        <v>65465.0</v>
      </c>
      <c r="C2" t="n" s="17">
        <f>IFERROR(ROWSDUMMYFUNCTION(IF(ISBLANK($A$1),"",IFERROR(XYLOOKUP('Actuals CF'!$A:$ME,A2,$A$1),""))),"-22995.75")</f>
        <v>-22995.75</v>
      </c>
      <c r="D2" t="n" s="48">
        <f>B2-C2</f>
        <v>88460.75</v>
      </c>
    </row>
    <row r="3">
      <c r="A3" t="s" s="36">
        <v>187</v>
      </c>
      <c r="B3" s="1">
        <f>IFERROR(ROWSDUMMYFUNCTION(IF(ISBLANK($A$1),"",IFERROR(XYLOOKUP('13-week CF Forecast'!$A:$ON,A3,$A$1),""))),"")</f>
      </c>
      <c r="C3" s="1">
        <f>IFERROR(ROWSDUMMYFUNCTION(IF(ISBLANK($A$1),"",IFERROR(XYLOOKUP('Actuals CF'!$A:$ME,A3,$A$1),""))),"")</f>
      </c>
      <c r="D3" t="n" s="48">
        <f>B3-C3</f>
        <v>0.0</v>
      </c>
    </row>
    <row r="4">
      <c r="A4" t="s" s="1">
        <v>176</v>
      </c>
      <c r="B4" s="1">
        <f>IFERROR(ROWSDUMMYFUNCTION(IF(ISBLANK($A$1),"",IFERROR(XYLOOKUP('13-week CF Forecast'!$A:$ON,A4,$A$1),""))),"")</f>
      </c>
      <c r="C4" t="n" s="17">
        <f>IFERROR(ROWSDUMMYFUNCTION(IF(ISBLANK($A$1),"",IFERROR(XYLOOKUP('Actuals CF'!$A:$ME,A4,$A$1),""))),"0")</f>
        <v>0.0</v>
      </c>
      <c r="D4" t="n" s="48">
        <f>B4-C4</f>
        <v>0.0</v>
      </c>
    </row>
    <row r="5">
      <c r="A5" t="s" s="1">
        <v>51</v>
      </c>
      <c r="B5" t="n" s="17">
        <f>IFERROR(ROWSDUMMYFUNCTION(IF(ISBLANK($A$1),"",IFERROR(XYLOOKUP('13-week CF Forecast'!$A:$ON,A5,$A$1),""))),"0")</f>
        <v>0.0</v>
      </c>
      <c r="C5" t="n" s="17">
        <f>IFERROR(ROWSDUMMYFUNCTION(IF(ISBLANK($A$1),"",IFERROR(XYLOOKUP('Actuals CF'!$A:$ME,A5,$A$1),""))),"0")</f>
        <v>0.0</v>
      </c>
      <c r="D5" t="n" s="48">
        <f>B5-C5</f>
        <v>0.0</v>
      </c>
    </row>
    <row r="6">
      <c r="A6" t="s" s="1">
        <v>26</v>
      </c>
      <c r="B6" t="n" s="17">
        <f>IFERROR(ROWSDUMMYFUNCTION(IF(ISBLANK($A$1),"",IFERROR(XYLOOKUP('13-week CF Forecast'!$A:$ON,A6,$A$1),""))),"0")</f>
        <v>0.0</v>
      </c>
      <c r="C6" t="n" s="17">
        <f>IFERROR(ROWSDUMMYFUNCTION(IF(ISBLANK($A$1),"",IFERROR(XYLOOKUP('Actuals CF'!$A:$ME,A6,$A$1),""))),"0")</f>
        <v>0.0</v>
      </c>
      <c r="D6" t="n" s="48">
        <f>B6-C6</f>
        <v>0.0</v>
      </c>
    </row>
    <row r="7">
      <c r="A7" t="s" s="1">
        <v>188</v>
      </c>
      <c r="B7" s="1">
        <f>IFERROR(ROWSDUMMYFUNCTION(IF(ISBLANK($A$1),"",IFERROR(XYLOOKUP('13-week CF Forecast'!$A:$ON,A7,$A$1),""))),"")</f>
      </c>
      <c r="C7" s="1">
        <f>IFERROR(ROWSDUMMYFUNCTION(IF(ISBLANK($A$1),"",IFERROR(XYLOOKUP('Actuals CF'!$A:$ME,A7,$A$1),""))),"")</f>
      </c>
      <c r="D7" t="n" s="48">
        <f>B7-C7</f>
        <v>0.0</v>
      </c>
    </row>
    <row r="8">
      <c r="A8" t="s" s="36">
        <v>139</v>
      </c>
      <c r="B8" t="n" s="17">
        <f>IFERROR(ROWSDUMMYFUNCTION(IF(ISBLANK($A$1),"",IFERROR(XYLOOKUP('13-week CF Forecast'!$A:$ON,A8,$A$1),""))),"0")</f>
        <v>0.0</v>
      </c>
      <c r="C8" s="1">
        <f>IFERROR(ROWSDUMMYFUNCTION(IF(ISBLANK($A$1),"",IFERROR(XYLOOKUP('Actuals CF'!$A:$ME,A8,$A$1),""))),"")</f>
      </c>
      <c r="D8" t="n" s="48">
        <f>B8-C8</f>
        <v>0.0</v>
      </c>
    </row>
    <row r="9">
      <c r="A9" t="s" s="36">
        <v>15</v>
      </c>
      <c r="B9" t="n" s="17">
        <f>IFERROR(ROWSDUMMYFUNCTION(IF(ISBLANK($A$1),"",IFERROR(XYLOOKUP('13-week CF Forecast'!$A:$ON,A9,$A$1),""))),"0")</f>
        <v>0.0</v>
      </c>
      <c r="C9" s="1">
        <f>IFERROR(ROWSDUMMYFUNCTION(IF(ISBLANK($A$1),"",IFERROR(XYLOOKUP('Actuals CF'!$A:$ME,A9,$A$1),""))),"")</f>
      </c>
      <c r="D9" t="n" s="48">
        <f>B9-C9</f>
        <v>0.0</v>
      </c>
    </row>
    <row r="10">
      <c r="A10" t="s" s="13">
        <v>178</v>
      </c>
      <c r="B10" t="n" s="17">
        <f>IFERROR(ROWSDUMMYFUNCTION(IF(ISBLANK($A$1),"",IFERROR(XYLOOKUP('13-week CF Forecast'!$A:$ON,A10,$A$1),""))),"-19637.10")</f>
        <v>-19637.1</v>
      </c>
      <c r="C10" t="n" s="17">
        <f>IFERROR(ROWSDUMMYFUNCTION(IF(ISBLANK($A$1),"",IFERROR(XYLOOKUP('Actuals CF'!$A:$ME,A10,$A$1),""))),"15010.80")</f>
        <v>15010.8</v>
      </c>
      <c r="D10" t="n" s="48">
        <f>B10-C10</f>
        <v>-34647.9</v>
      </c>
    </row>
    <row r="11">
      <c r="A11" t="s" s="36">
        <v>179</v>
      </c>
      <c r="B11" t="n" s="17">
        <f>IFERROR(ROWSDUMMYFUNCTION(IF(ISBLANK($A$1),"",IFERROR(XYLOOKUP('13-week CF Forecast'!$A:$ON,A11,$A$1),""))),"0")</f>
        <v>0.0</v>
      </c>
      <c r="C11" t="n" s="17">
        <f>IFERROR(ROWSDUMMYFUNCTION(IF(ISBLANK($A$1),"",IFERROR(XYLOOKUP('Actuals CF'!$A:$ME,A11,$A$1),""))),"0")</f>
        <v>0.0</v>
      </c>
      <c r="D11" t="n" s="48">
        <f>B11-C11</f>
        <v>0.0</v>
      </c>
    </row>
    <row r="12">
      <c r="A12" t="s" s="36">
        <v>180</v>
      </c>
      <c r="B12" t="n" s="17">
        <f>IFERROR(ROWSDUMMYFUNCTION(IF(ISBLANK($A$1),"",IFERROR(XYLOOKUP('13-week CF Forecast'!$A:$ON,A12,$A$1),""))),"0")</f>
        <v>0.0</v>
      </c>
      <c r="C12" t="n" s="17">
        <f>IFERROR(ROWSDUMMYFUNCTION(IF(ISBLANK($A$1),"",IFERROR(XYLOOKUP('Actuals CF'!$A:$ME,A12,$A$1),""))),"0")</f>
        <v>0.0</v>
      </c>
      <c r="D12" t="n" s="48">
        <f>B12-C12</f>
        <v>0.0</v>
      </c>
    </row>
    <row r="13">
      <c r="A13" t="s" s="13">
        <v>181</v>
      </c>
      <c r="B13" t="n" s="17">
        <f>IFERROR(ROWSDUMMYFUNCTION(IF(ISBLANK($A$1),"",IFERROR(XYLOOKUP('13-week CF Forecast'!$A:$ON,A13,$A$1),""))),"-19637.10")</f>
        <v>-19637.1</v>
      </c>
      <c r="C13" t="n" s="17">
        <f>IFERROR(ROWSDUMMYFUNCTION(IF(ISBLANK($A$1),"",IFERROR(XYLOOKUP('Actuals CF'!$A:$ME,A13,$A$1),""))),"15010.80")</f>
        <v>15010.8</v>
      </c>
      <c r="D13" t="n" s="48">
        <f>B13-C13</f>
        <v>-34647.9</v>
      </c>
    </row>
    <row r="14">
      <c r="A14" t="s" s="13">
        <v>182</v>
      </c>
      <c r="B14" t="n" s="17">
        <f>IFERROR(ROWSDUMMYFUNCTION(IF(ISBLANK($A$1),"",IFERROR(XYLOOKUP('13-week CF Forecast'!$A:$ON,A14,$A$1),""))),"45827.90")</f>
        <v>45827.9</v>
      </c>
      <c r="C14" t="n" s="17">
        <f>IFERROR(ROWSDUMMYFUNCTION(IF(ISBLANK($A$1),"",IFERROR(XYLOOKUP('Actuals CF'!$A:$ME,A14,$A$1),""))),"-7984.95")</f>
        <v>-7984.95</v>
      </c>
      <c r="D14" t="n" s="48">
        <f>B14-C14</f>
        <v>53812.85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 s="1">
        <v>189</v>
      </c>
      <c r="B1" t="s" s="1">
        <v>190</v>
      </c>
      <c r="C1" t="s" s="1">
        <v>191</v>
      </c>
      <c r="D1" t="s" s="1">
        <v>192</v>
      </c>
      <c r="E1" t="s" s="1">
        <v>193</v>
      </c>
      <c r="F1" t="s" s="1">
        <v>194</v>
      </c>
    </row>
    <row r="2">
      <c r="A2" t="s" s="1">
        <v>113</v>
      </c>
      <c r="B2" t="s" s="1">
        <v>195</v>
      </c>
      <c r="C2" s="1"/>
    </row>
    <row r="3">
      <c r="A3" t="s" s="1">
        <v>196</v>
      </c>
      <c r="B3" t="s" s="1">
        <v>195</v>
      </c>
      <c r="C3" s="1"/>
    </row>
    <row r="4">
      <c r="A4" t="s" s="1">
        <v>118</v>
      </c>
      <c r="B4" t="s" s="1">
        <v>44</v>
      </c>
      <c r="C4" t="n" s="17">
        <v>101000.0</v>
      </c>
      <c r="D4" t="n" s="17">
        <v>105000.0</v>
      </c>
      <c r="E4" t="n" s="17">
        <f>D4-C4</f>
        <v>4000.0</v>
      </c>
      <c r="F4" t="n" s="17">
        <v>70000.0</v>
      </c>
    </row>
    <row r="5">
      <c r="A5" t="s" s="1">
        <v>197</v>
      </c>
      <c r="B5" t="s" s="1">
        <v>44</v>
      </c>
      <c r="C5" t="n" s="17">
        <v>11000.0</v>
      </c>
      <c r="D5" t="n" s="17">
        <v>85000.0</v>
      </c>
      <c r="E5" t="n" s="17">
        <f>D5-C5</f>
        <v>74000.0</v>
      </c>
      <c r="F5" t="n" s="17">
        <v>0.0</v>
      </c>
    </row>
    <row r="6">
      <c r="A6" t="s" s="1">
        <v>198</v>
      </c>
      <c r="B6" t="s" s="1">
        <v>198</v>
      </c>
      <c r="C6" t="n" s="17">
        <v>400000.0</v>
      </c>
      <c r="D6" t="n" s="17">
        <v>500000.0</v>
      </c>
      <c r="E6" t="n" s="17">
        <f>D6-C6</f>
        <v>100000.0</v>
      </c>
      <c r="F6" t="n" s="17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4"/>
  <sheetViews>
    <sheetView workbookViewId="0"/>
  </sheetViews>
  <sheetFormatPr defaultRowHeight="15.0"/>
  <cols>
    <col min="1" max="1" width="46.55859375" customWidth="true"/>
  </cols>
  <sheetData>
    <row r="1">
      <c r="A1" t="s" s="13">
        <v>5</v>
      </c>
    </row>
    <row r="2">
      <c r="A2" t="s" s="36">
        <v>90</v>
      </c>
    </row>
    <row r="3">
      <c r="A3" t="s" s="1">
        <v>10</v>
      </c>
    </row>
    <row r="4">
      <c r="A4" t="s" s="1">
        <v>51</v>
      </c>
    </row>
    <row r="5">
      <c r="A5" t="s" s="1">
        <v>26</v>
      </c>
    </row>
    <row r="6">
      <c r="A6" t="s" s="1">
        <v>49</v>
      </c>
    </row>
    <row r="7">
      <c r="A7" t="s" s="36">
        <v>139</v>
      </c>
    </row>
    <row r="8">
      <c r="A8" t="s" s="36">
        <v>15</v>
      </c>
    </row>
    <row r="9">
      <c r="A9" t="s" s="36">
        <v>179</v>
      </c>
    </row>
    <row r="10">
      <c r="A10" t="s" s="36">
        <v>180</v>
      </c>
    </row>
    <row r="11">
      <c r="A11" t="s" s="36">
        <v>8</v>
      </c>
    </row>
    <row r="12">
      <c r="A12" t="s" s="36">
        <v>21</v>
      </c>
    </row>
    <row r="13">
      <c r="A13" t="s" s="36">
        <v>44</v>
      </c>
    </row>
    <row r="14">
      <c r="A14" t="s" s="36">
        <v>177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65"/>
  <sheetViews>
    <sheetView workbookViewId="0"/>
  </sheetViews>
  <sheetFormatPr defaultRowHeight="15.0"/>
  <cols>
    <col min="2" max="2" width="16.140625" customWidth="true"/>
    <col min="3" max="3" width="25.56640625" customWidth="true"/>
    <col min="1" max="1" width="33.27734375" customWidth="true"/>
    <col min="4" max="4" width="25.56640625" customWidth="true"/>
    <col min="5" max="5" width="25.56640625" customWidth="true"/>
  </cols>
  <sheetData>
    <row r="1">
      <c r="A1" t="s" s="4">
        <v>5</v>
      </c>
      <c r="B1" t="s" s="4">
        <v>3</v>
      </c>
      <c r="C1" t="s" s="4">
        <v>92</v>
      </c>
      <c r="D1" t="s" s="4">
        <v>93</v>
      </c>
      <c r="E1" t="s" s="4">
        <v>199</v>
      </c>
    </row>
    <row r="2">
      <c r="A2" t="s" s="1">
        <v>26</v>
      </c>
      <c r="B2" t="n" s="17">
        <v>10056.0</v>
      </c>
      <c r="C2" t="s" s="1">
        <v>110</v>
      </c>
      <c r="D2" t="s" s="1">
        <v>110</v>
      </c>
      <c r="E2" t="n" s="16">
        <v>45839.0</v>
      </c>
    </row>
    <row r="3" ht="12.0" customHeight="true">
      <c r="A3" t="s" s="1">
        <v>26</v>
      </c>
      <c r="B3" t="n" s="17">
        <v>10056.0</v>
      </c>
      <c r="C3" t="s" s="1">
        <v>110</v>
      </c>
      <c r="D3" t="s" s="1">
        <v>110</v>
      </c>
      <c r="E3" t="n" s="16">
        <v>45870.0</v>
      </c>
    </row>
    <row r="4" ht="12.0" customHeight="true">
      <c r="A4" t="s" s="1">
        <v>26</v>
      </c>
      <c r="B4" t="n" s="17">
        <v>10056.0</v>
      </c>
      <c r="C4" t="s" s="1">
        <v>110</v>
      </c>
      <c r="D4" t="s" s="1">
        <v>110</v>
      </c>
      <c r="E4" t="n" s="16">
        <v>45901.0</v>
      </c>
    </row>
    <row r="5" ht="12.0" customHeight="true">
      <c r="A5" t="s" s="1">
        <v>26</v>
      </c>
      <c r="B5" t="n" s="17">
        <v>10056.0</v>
      </c>
      <c r="C5" t="s" s="1">
        <v>110</v>
      </c>
      <c r="D5" t="s" s="1">
        <v>110</v>
      </c>
      <c r="E5" t="n" s="16">
        <v>45931.0</v>
      </c>
    </row>
    <row r="6" ht="12.0" customHeight="true">
      <c r="A6" t="s" s="1">
        <v>26</v>
      </c>
      <c r="B6" t="n" s="17">
        <v>10056.0</v>
      </c>
      <c r="C6" t="s" s="1">
        <v>110</v>
      </c>
      <c r="D6" t="s" s="1">
        <v>110</v>
      </c>
      <c r="E6" t="n" s="16">
        <v>45962.0</v>
      </c>
    </row>
    <row r="7" ht="12.0" customHeight="true">
      <c r="A7" t="s" s="1">
        <v>26</v>
      </c>
      <c r="B7" t="n" s="17">
        <v>10056.0</v>
      </c>
      <c r="C7" t="s" s="1">
        <v>110</v>
      </c>
      <c r="D7" t="s" s="1">
        <v>110</v>
      </c>
      <c r="E7" t="n" s="16">
        <v>45992.0</v>
      </c>
    </row>
    <row r="8" ht="12.0" customHeight="true">
      <c r="A8" t="s" s="1">
        <v>26</v>
      </c>
      <c r="B8" t="n" s="17">
        <v>10056.0</v>
      </c>
      <c r="C8" t="s" s="1">
        <v>110</v>
      </c>
      <c r="D8" t="s" s="1">
        <v>110</v>
      </c>
      <c r="E8" t="n" s="16">
        <v>46023.0</v>
      </c>
    </row>
    <row r="9" ht="12.0" customHeight="true">
      <c r="A9" t="s" s="1">
        <v>26</v>
      </c>
      <c r="B9" t="n" s="17">
        <v>10056.0</v>
      </c>
      <c r="C9" t="s" s="1">
        <v>110</v>
      </c>
      <c r="D9" t="s" s="1">
        <v>110</v>
      </c>
      <c r="E9" t="n" s="16">
        <v>46054.0</v>
      </c>
    </row>
    <row r="10" ht="12.0" customHeight="true">
      <c r="A10" t="s" s="1">
        <v>26</v>
      </c>
      <c r="B10" t="n" s="17">
        <v>10056.0</v>
      </c>
      <c r="C10" t="s" s="1">
        <v>110</v>
      </c>
      <c r="D10" t="s" s="1">
        <v>110</v>
      </c>
      <c r="E10" t="n" s="16">
        <v>46082.0</v>
      </c>
    </row>
    <row r="11" ht="12.0" customHeight="true">
      <c r="A11" t="s" s="1">
        <v>26</v>
      </c>
      <c r="B11" t="n" s="17">
        <v>10056.0</v>
      </c>
      <c r="C11" t="s" s="1">
        <v>110</v>
      </c>
      <c r="D11" t="s" s="1">
        <v>110</v>
      </c>
      <c r="E11" t="n" s="16">
        <v>46113.0</v>
      </c>
    </row>
    <row r="12" ht="12.0" customHeight="true">
      <c r="A12" t="s" s="1">
        <v>26</v>
      </c>
      <c r="B12" t="n" s="17">
        <v>10056.0</v>
      </c>
      <c r="C12" t="s" s="1">
        <v>110</v>
      </c>
      <c r="D12" t="s" s="1">
        <v>110</v>
      </c>
      <c r="E12" t="n" s="16">
        <v>46143.0</v>
      </c>
    </row>
    <row r="13" ht="12.0" customHeight="true">
      <c r="A13" t="s" s="1">
        <v>26</v>
      </c>
      <c r="B13" t="n" s="17">
        <v>10056.0</v>
      </c>
      <c r="C13" t="s" s="1">
        <v>110</v>
      </c>
      <c r="D13" t="s" s="1">
        <v>110</v>
      </c>
      <c r="E13" t="n" s="16">
        <v>46174.0</v>
      </c>
    </row>
    <row r="14" ht="12.0" customHeight="true">
      <c r="A14" t="s" s="1">
        <v>26</v>
      </c>
      <c r="B14" t="n" s="17">
        <v>10056.0</v>
      </c>
      <c r="C14" t="s" s="1">
        <v>110</v>
      </c>
      <c r="D14" t="s" s="1">
        <v>110</v>
      </c>
      <c r="E14" t="n" s="16">
        <v>46204.0</v>
      </c>
    </row>
    <row r="15">
      <c r="A15" t="s" s="1">
        <v>26</v>
      </c>
      <c r="B15" t="n" s="17">
        <v>3056.37</v>
      </c>
      <c r="C15" t="s" s="1">
        <v>114</v>
      </c>
      <c r="D15" t="s" s="1">
        <v>114</v>
      </c>
      <c r="E15" t="n" s="16">
        <v>45839.0</v>
      </c>
    </row>
    <row r="16" ht="12.0" customHeight="true">
      <c r="A16" t="s" s="1">
        <v>26</v>
      </c>
      <c r="B16" t="n" s="17">
        <v>3056.37</v>
      </c>
      <c r="C16" t="s" s="1">
        <v>114</v>
      </c>
      <c r="D16" t="s" s="1">
        <v>114</v>
      </c>
      <c r="E16" t="n" s="16">
        <v>45870.0</v>
      </c>
    </row>
    <row r="17" ht="12.0" customHeight="true">
      <c r="A17" t="s" s="1">
        <v>26</v>
      </c>
      <c r="B17" t="n" s="17">
        <v>3056.37</v>
      </c>
      <c r="C17" t="s" s="1">
        <v>114</v>
      </c>
      <c r="D17" t="s" s="1">
        <v>114</v>
      </c>
      <c r="E17" t="n" s="16">
        <v>45901.0</v>
      </c>
    </row>
    <row r="18" ht="12.0" customHeight="true">
      <c r="A18" t="s" s="1">
        <v>26</v>
      </c>
      <c r="B18" t="n" s="17">
        <v>3056.37</v>
      </c>
      <c r="C18" t="s" s="1">
        <v>114</v>
      </c>
      <c r="D18" t="s" s="1">
        <v>114</v>
      </c>
      <c r="E18" t="n" s="16">
        <v>45931.0</v>
      </c>
    </row>
    <row r="19" ht="12.0" customHeight="true">
      <c r="A19" t="s" s="1">
        <v>26</v>
      </c>
      <c r="B19" t="n" s="17">
        <v>3056.37</v>
      </c>
      <c r="C19" t="s" s="1">
        <v>114</v>
      </c>
      <c r="D19" t="s" s="1">
        <v>114</v>
      </c>
      <c r="E19" t="n" s="16">
        <v>45962.0</v>
      </c>
    </row>
    <row r="20" ht="12.0" customHeight="true">
      <c r="A20" t="s" s="1">
        <v>26</v>
      </c>
      <c r="B20" t="n" s="17">
        <v>3056.37</v>
      </c>
      <c r="C20" t="s" s="1">
        <v>114</v>
      </c>
      <c r="D20" t="s" s="1">
        <v>114</v>
      </c>
      <c r="E20" t="n" s="16">
        <v>45992.0</v>
      </c>
    </row>
    <row r="21" ht="12.0" customHeight="true">
      <c r="A21" t="s" s="1">
        <v>26</v>
      </c>
      <c r="B21" t="n" s="17">
        <v>3056.37</v>
      </c>
      <c r="C21" t="s" s="1">
        <v>114</v>
      </c>
      <c r="D21" t="s" s="1">
        <v>114</v>
      </c>
      <c r="E21" t="n" s="16">
        <v>46023.0</v>
      </c>
    </row>
    <row r="22" ht="12.0" customHeight="true">
      <c r="A22" t="s" s="1">
        <v>26</v>
      </c>
      <c r="B22" t="n" s="17">
        <v>3056.37</v>
      </c>
      <c r="C22" t="s" s="1">
        <v>114</v>
      </c>
      <c r="D22" t="s" s="1">
        <v>114</v>
      </c>
      <c r="E22" t="n" s="16">
        <v>46054.0</v>
      </c>
    </row>
    <row r="23" ht="12.0" customHeight="true">
      <c r="A23" t="s" s="1">
        <v>26</v>
      </c>
      <c r="B23" t="n" s="17">
        <v>3056.37</v>
      </c>
      <c r="C23" t="s" s="1">
        <v>114</v>
      </c>
      <c r="D23" t="s" s="1">
        <v>114</v>
      </c>
      <c r="E23" t="n" s="16">
        <v>46082.0</v>
      </c>
    </row>
    <row r="24" ht="12.0" customHeight="true">
      <c r="A24" t="s" s="1">
        <v>26</v>
      </c>
      <c r="B24" t="n" s="17">
        <v>3056.37</v>
      </c>
      <c r="C24" t="s" s="1">
        <v>114</v>
      </c>
      <c r="D24" t="s" s="1">
        <v>114</v>
      </c>
      <c r="E24" t="n" s="16">
        <v>46113.0</v>
      </c>
    </row>
    <row r="25" ht="12.0" customHeight="true">
      <c r="A25" t="s" s="1">
        <v>26</v>
      </c>
      <c r="B25" t="n" s="17">
        <v>3056.37</v>
      </c>
      <c r="C25" t="s" s="1">
        <v>114</v>
      </c>
      <c r="D25" t="s" s="1">
        <v>114</v>
      </c>
      <c r="E25" t="n" s="16">
        <v>46143.0</v>
      </c>
    </row>
    <row r="26" ht="12.0" customHeight="true">
      <c r="A26" t="s" s="1">
        <v>26</v>
      </c>
      <c r="B26" t="n" s="17">
        <v>3056.37</v>
      </c>
      <c r="C26" t="s" s="1">
        <v>114</v>
      </c>
      <c r="D26" t="s" s="1">
        <v>114</v>
      </c>
      <c r="E26" t="n" s="16">
        <v>46174.0</v>
      </c>
    </row>
    <row r="27" ht="12.0" customHeight="true">
      <c r="A27" t="s" s="1">
        <v>26</v>
      </c>
      <c r="B27" t="n" s="17">
        <v>3056.37</v>
      </c>
      <c r="C27" t="s" s="1">
        <v>114</v>
      </c>
      <c r="D27" t="s" s="1">
        <v>114</v>
      </c>
      <c r="E27" t="n" s="16">
        <v>46204.0</v>
      </c>
    </row>
    <row r="28">
      <c r="A28" t="s" s="1">
        <v>26</v>
      </c>
      <c r="B28" t="n" s="17">
        <v>5000.0</v>
      </c>
      <c r="C28" t="s" s="1">
        <v>116</v>
      </c>
      <c r="D28" t="s" s="1">
        <v>116</v>
      </c>
      <c r="E28" t="n" s="16">
        <v>45839.0</v>
      </c>
    </row>
    <row r="29" ht="12.0" customHeight="true">
      <c r="A29" t="s" s="1">
        <v>26</v>
      </c>
      <c r="B29" t="n" s="17">
        <v>5000.0</v>
      </c>
      <c r="C29" t="s" s="1">
        <v>116</v>
      </c>
      <c r="D29" t="s" s="1">
        <v>116</v>
      </c>
      <c r="E29" t="n" s="16">
        <v>45870.0</v>
      </c>
    </row>
    <row r="30" ht="12.0" customHeight="true">
      <c r="A30" t="s" s="1">
        <v>26</v>
      </c>
      <c r="B30" t="n" s="17">
        <v>5000.0</v>
      </c>
      <c r="C30" t="s" s="1">
        <v>116</v>
      </c>
      <c r="D30" t="s" s="1">
        <v>116</v>
      </c>
      <c r="E30" t="n" s="16">
        <v>45901.0</v>
      </c>
    </row>
    <row r="31" ht="12.0" customHeight="true">
      <c r="A31" t="s" s="1">
        <v>26</v>
      </c>
      <c r="B31" t="n" s="17">
        <v>5000.0</v>
      </c>
      <c r="C31" t="s" s="1">
        <v>116</v>
      </c>
      <c r="D31" t="s" s="1">
        <v>116</v>
      </c>
      <c r="E31" t="n" s="16">
        <v>45931.0</v>
      </c>
    </row>
    <row r="32" ht="12.0" customHeight="true">
      <c r="A32" t="s" s="1">
        <v>26</v>
      </c>
      <c r="B32" t="n" s="17">
        <v>5000.0</v>
      </c>
      <c r="C32" t="s" s="1">
        <v>116</v>
      </c>
      <c r="D32" t="s" s="1">
        <v>116</v>
      </c>
      <c r="E32" t="n" s="16">
        <v>45962.0</v>
      </c>
    </row>
    <row r="33" ht="12.0" customHeight="true">
      <c r="A33" t="s" s="1">
        <v>26</v>
      </c>
      <c r="B33" t="n" s="17">
        <v>5000.0</v>
      </c>
      <c r="C33" t="s" s="1">
        <v>116</v>
      </c>
      <c r="D33" t="s" s="1">
        <v>116</v>
      </c>
      <c r="E33" t="n" s="16">
        <v>45992.0</v>
      </c>
    </row>
    <row r="34" ht="12.0" customHeight="true">
      <c r="A34" t="s" s="1">
        <v>26</v>
      </c>
      <c r="B34" t="n" s="17">
        <v>5000.0</v>
      </c>
      <c r="C34" t="s" s="1">
        <v>116</v>
      </c>
      <c r="D34" t="s" s="1">
        <v>116</v>
      </c>
      <c r="E34" t="n" s="16">
        <v>46023.0</v>
      </c>
    </row>
    <row r="35" ht="12.0" customHeight="true">
      <c r="A35" t="s" s="1">
        <v>26</v>
      </c>
      <c r="B35" t="n" s="17">
        <v>5000.0</v>
      </c>
      <c r="C35" t="s" s="1">
        <v>116</v>
      </c>
      <c r="D35" t="s" s="1">
        <v>116</v>
      </c>
      <c r="E35" t="n" s="16">
        <v>46054.0</v>
      </c>
    </row>
    <row r="36" ht="12.0" customHeight="true">
      <c r="A36" t="s" s="1">
        <v>26</v>
      </c>
      <c r="B36" t="n" s="17">
        <v>5000.0</v>
      </c>
      <c r="C36" t="s" s="1">
        <v>116</v>
      </c>
      <c r="D36" t="s" s="1">
        <v>116</v>
      </c>
      <c r="E36" t="n" s="16">
        <v>46082.0</v>
      </c>
    </row>
    <row r="37" ht="12.0" customHeight="true">
      <c r="A37" t="s" s="1">
        <v>26</v>
      </c>
      <c r="B37" t="n" s="17">
        <v>5000.0</v>
      </c>
      <c r="C37" t="s" s="1">
        <v>116</v>
      </c>
      <c r="D37" t="s" s="1">
        <v>116</v>
      </c>
      <c r="E37" t="n" s="16">
        <v>46113.0</v>
      </c>
    </row>
    <row r="38" ht="12.0" customHeight="true">
      <c r="A38" t="s" s="1">
        <v>26</v>
      </c>
      <c r="B38" t="n" s="17">
        <v>5000.0</v>
      </c>
      <c r="C38" t="s" s="1">
        <v>116</v>
      </c>
      <c r="D38" t="s" s="1">
        <v>116</v>
      </c>
      <c r="E38" t="n" s="16">
        <v>46143.0</v>
      </c>
    </row>
    <row r="39" ht="12.0" customHeight="true">
      <c r="A39" t="s" s="1">
        <v>26</v>
      </c>
      <c r="B39" t="n" s="17">
        <v>5000.0</v>
      </c>
      <c r="C39" t="s" s="1">
        <v>116</v>
      </c>
      <c r="D39" t="s" s="1">
        <v>116</v>
      </c>
      <c r="E39" t="n" s="16">
        <v>46174.0</v>
      </c>
    </row>
    <row r="40" ht="12.0" customHeight="true">
      <c r="A40" t="s" s="1">
        <v>26</v>
      </c>
      <c r="B40" t="n" s="17">
        <v>5000.0</v>
      </c>
      <c r="C40" t="s" s="1">
        <v>116</v>
      </c>
      <c r="D40" t="s" s="1">
        <v>116</v>
      </c>
      <c r="E40" t="n" s="16">
        <v>46204.0</v>
      </c>
    </row>
    <row r="41">
      <c r="A41" t="s" s="1">
        <v>51</v>
      </c>
      <c r="B41" t="n" s="17">
        <v>3500.0</v>
      </c>
      <c r="C41" t="s" s="1">
        <v>119</v>
      </c>
      <c r="D41" t="s" s="1">
        <v>119</v>
      </c>
      <c r="E41" t="n" s="16">
        <v>45839.0</v>
      </c>
    </row>
    <row r="42" ht="12.0" customHeight="true">
      <c r="A42" t="s" s="1">
        <v>51</v>
      </c>
      <c r="B42" t="n" s="17">
        <v>3500.0</v>
      </c>
      <c r="C42" t="s" s="1">
        <v>119</v>
      </c>
      <c r="D42" t="s" s="1">
        <v>119</v>
      </c>
      <c r="E42" t="n" s="16">
        <v>45870.0</v>
      </c>
    </row>
    <row r="43" ht="12.0" customHeight="true">
      <c r="A43" t="s" s="1">
        <v>51</v>
      </c>
      <c r="B43" t="n" s="17">
        <v>3500.0</v>
      </c>
      <c r="C43" t="s" s="1">
        <v>119</v>
      </c>
      <c r="D43" t="s" s="1">
        <v>119</v>
      </c>
      <c r="E43" t="n" s="16">
        <v>45901.0</v>
      </c>
    </row>
    <row r="44" ht="12.0" customHeight="true">
      <c r="A44" t="s" s="1">
        <v>51</v>
      </c>
      <c r="B44" t="n" s="17">
        <v>3500.0</v>
      </c>
      <c r="C44" t="s" s="1">
        <v>119</v>
      </c>
      <c r="D44" t="s" s="1">
        <v>119</v>
      </c>
      <c r="E44" t="n" s="16">
        <v>45931.0</v>
      </c>
    </row>
    <row r="45" ht="12.0" customHeight="true">
      <c r="A45" t="s" s="1">
        <v>51</v>
      </c>
      <c r="B45" t="n" s="17">
        <v>3500.0</v>
      </c>
      <c r="C45" t="s" s="1">
        <v>119</v>
      </c>
      <c r="D45" t="s" s="1">
        <v>119</v>
      </c>
      <c r="E45" t="n" s="16">
        <v>45962.0</v>
      </c>
    </row>
    <row r="46" ht="12.0" customHeight="true">
      <c r="A46" t="s" s="1">
        <v>51</v>
      </c>
      <c r="B46" t="n" s="17">
        <v>3500.0</v>
      </c>
      <c r="C46" t="s" s="1">
        <v>119</v>
      </c>
      <c r="D46" t="s" s="1">
        <v>119</v>
      </c>
      <c r="E46" t="n" s="16">
        <v>45992.0</v>
      </c>
    </row>
    <row r="47" ht="12.0" customHeight="true">
      <c r="A47" t="s" s="1">
        <v>51</v>
      </c>
      <c r="B47" t="n" s="17">
        <v>3500.0</v>
      </c>
      <c r="C47" t="s" s="1">
        <v>119</v>
      </c>
      <c r="D47" t="s" s="1">
        <v>119</v>
      </c>
      <c r="E47" t="n" s="16">
        <v>46023.0</v>
      </c>
    </row>
    <row r="48" ht="12.0" customHeight="true">
      <c r="A48" t="s" s="1">
        <v>51</v>
      </c>
      <c r="B48" t="n" s="17">
        <v>3500.0</v>
      </c>
      <c r="C48" t="s" s="1">
        <v>119</v>
      </c>
      <c r="D48" t="s" s="1">
        <v>119</v>
      </c>
      <c r="E48" t="n" s="16">
        <v>46054.0</v>
      </c>
    </row>
    <row r="49" ht="12.0" customHeight="true">
      <c r="A49" t="s" s="1">
        <v>51</v>
      </c>
      <c r="B49" t="n" s="17">
        <v>3500.0</v>
      </c>
      <c r="C49" t="s" s="1">
        <v>119</v>
      </c>
      <c r="D49" t="s" s="1">
        <v>119</v>
      </c>
      <c r="E49" t="n" s="16">
        <v>46082.0</v>
      </c>
    </row>
    <row r="50" ht="12.0" customHeight="true">
      <c r="A50" t="s" s="1">
        <v>51</v>
      </c>
      <c r="B50" t="n" s="17">
        <v>3500.0</v>
      </c>
      <c r="C50" t="s" s="1">
        <v>119</v>
      </c>
      <c r="D50" t="s" s="1">
        <v>119</v>
      </c>
      <c r="E50" t="n" s="16">
        <v>46113.0</v>
      </c>
    </row>
    <row r="51" ht="12.0" customHeight="true">
      <c r="A51" t="s" s="1">
        <v>51</v>
      </c>
      <c r="B51" t="n" s="17">
        <v>3500.0</v>
      </c>
      <c r="C51" t="s" s="1">
        <v>119</v>
      </c>
      <c r="D51" t="s" s="1">
        <v>119</v>
      </c>
      <c r="E51" t="n" s="16">
        <v>46143.0</v>
      </c>
    </row>
    <row r="52" ht="12.0" customHeight="true">
      <c r="A52" t="s" s="1">
        <v>51</v>
      </c>
      <c r="B52" t="n" s="17">
        <v>3500.0</v>
      </c>
      <c r="C52" t="s" s="1">
        <v>119</v>
      </c>
      <c r="D52" t="s" s="1">
        <v>119</v>
      </c>
      <c r="E52" t="n" s="16">
        <v>46174.0</v>
      </c>
    </row>
    <row r="53" ht="12.0" customHeight="true">
      <c r="A53" t="s" s="1">
        <v>51</v>
      </c>
      <c r="B53" t="n" s="17">
        <v>3500.0</v>
      </c>
      <c r="C53" t="s" s="1">
        <v>119</v>
      </c>
      <c r="D53" t="s" s="1">
        <v>119</v>
      </c>
      <c r="E53" t="n" s="16">
        <v>46204.0</v>
      </c>
    </row>
    <row r="54">
      <c r="A54" t="s" s="1">
        <v>51</v>
      </c>
      <c r="B54" t="n" s="17">
        <v>4000.0</v>
      </c>
      <c r="C54" t="s" s="1">
        <v>121</v>
      </c>
      <c r="D54" t="s" s="1">
        <v>121</v>
      </c>
      <c r="E54" t="n" s="16">
        <v>45839.0</v>
      </c>
    </row>
    <row r="55" ht="12.0" customHeight="true">
      <c r="A55" t="s" s="1">
        <v>51</v>
      </c>
      <c r="B55" t="n" s="17">
        <v>4000.0</v>
      </c>
      <c r="C55" t="s" s="1">
        <v>121</v>
      </c>
      <c r="D55" t="s" s="1">
        <v>121</v>
      </c>
      <c r="E55" t="n" s="16">
        <v>45870.0</v>
      </c>
    </row>
    <row r="56" ht="12.0" customHeight="true">
      <c r="A56" t="s" s="1">
        <v>51</v>
      </c>
      <c r="B56" t="n" s="17">
        <v>4000.0</v>
      </c>
      <c r="C56" t="s" s="1">
        <v>121</v>
      </c>
      <c r="D56" t="s" s="1">
        <v>121</v>
      </c>
      <c r="E56" t="n" s="16">
        <v>45901.0</v>
      </c>
    </row>
    <row r="57" ht="12.0" customHeight="true">
      <c r="A57" t="s" s="1">
        <v>51</v>
      </c>
      <c r="B57" t="n" s="17">
        <v>4000.0</v>
      </c>
      <c r="C57" t="s" s="1">
        <v>121</v>
      </c>
      <c r="D57" t="s" s="1">
        <v>121</v>
      </c>
      <c r="E57" t="n" s="16">
        <v>45931.0</v>
      </c>
    </row>
    <row r="58" ht="12.0" customHeight="true">
      <c r="A58" t="s" s="1">
        <v>51</v>
      </c>
      <c r="B58" t="n" s="17">
        <v>4000.0</v>
      </c>
      <c r="C58" t="s" s="1">
        <v>121</v>
      </c>
      <c r="D58" t="s" s="1">
        <v>121</v>
      </c>
      <c r="E58" t="n" s="16">
        <v>45962.0</v>
      </c>
    </row>
    <row r="59" ht="12.0" customHeight="true">
      <c r="A59" t="s" s="1">
        <v>51</v>
      </c>
      <c r="B59" t="n" s="17">
        <v>4000.0</v>
      </c>
      <c r="C59" t="s" s="1">
        <v>121</v>
      </c>
      <c r="D59" t="s" s="1">
        <v>121</v>
      </c>
      <c r="E59" t="n" s="16">
        <v>45992.0</v>
      </c>
    </row>
    <row r="60" ht="12.0" customHeight="true">
      <c r="A60" t="s" s="1">
        <v>51</v>
      </c>
      <c r="B60" t="n" s="17">
        <v>4000.0</v>
      </c>
      <c r="C60" t="s" s="1">
        <v>121</v>
      </c>
      <c r="D60" t="s" s="1">
        <v>121</v>
      </c>
      <c r="E60" t="n" s="16">
        <v>46023.0</v>
      </c>
    </row>
    <row r="61" ht="12.0" customHeight="true">
      <c r="A61" t="s" s="1">
        <v>51</v>
      </c>
      <c r="B61" t="n" s="17">
        <v>4000.0</v>
      </c>
      <c r="C61" t="s" s="1">
        <v>121</v>
      </c>
      <c r="D61" t="s" s="1">
        <v>121</v>
      </c>
      <c r="E61" t="n" s="16">
        <v>46054.0</v>
      </c>
    </row>
    <row r="62" ht="12.0" customHeight="true">
      <c r="A62" t="s" s="1">
        <v>51</v>
      </c>
      <c r="B62" t="n" s="17">
        <v>4000.0</v>
      </c>
      <c r="C62" t="s" s="1">
        <v>121</v>
      </c>
      <c r="D62" t="s" s="1">
        <v>121</v>
      </c>
      <c r="E62" t="n" s="16">
        <v>46082.0</v>
      </c>
    </row>
    <row r="63" ht="12.0" customHeight="true">
      <c r="A63" t="s" s="1">
        <v>51</v>
      </c>
      <c r="B63" t="n" s="17">
        <v>4000.0</v>
      </c>
      <c r="C63" t="s" s="1">
        <v>121</v>
      </c>
      <c r="D63" t="s" s="1">
        <v>121</v>
      </c>
      <c r="E63" t="n" s="16">
        <v>46113.0</v>
      </c>
    </row>
    <row r="64" ht="12.0" customHeight="true">
      <c r="A64" t="s" s="1">
        <v>51</v>
      </c>
      <c r="B64" t="n" s="17">
        <v>4000.0</v>
      </c>
      <c r="C64" t="s" s="1">
        <v>121</v>
      </c>
      <c r="D64" t="s" s="1">
        <v>121</v>
      </c>
      <c r="E64" t="n" s="16">
        <v>46143.0</v>
      </c>
    </row>
    <row r="65" ht="12.0" customHeight="true">
      <c r="A65" t="s" s="1">
        <v>51</v>
      </c>
      <c r="B65" t="n" s="17">
        <v>4000.0</v>
      </c>
      <c r="C65" t="s" s="1">
        <v>121</v>
      </c>
      <c r="D65" t="s" s="1">
        <v>121</v>
      </c>
      <c r="E65" t="n" s="16">
        <v>46174.0</v>
      </c>
    </row>
    <row r="66" ht="12.0" customHeight="true">
      <c r="A66" t="s" s="1">
        <v>51</v>
      </c>
      <c r="B66" t="n" s="17">
        <v>4000.0</v>
      </c>
      <c r="C66" t="s" s="1">
        <v>121</v>
      </c>
      <c r="D66" t="s" s="1">
        <v>121</v>
      </c>
      <c r="E66" t="n" s="16">
        <v>46204.0</v>
      </c>
    </row>
    <row r="67">
      <c r="A67" t="s" s="1">
        <v>51</v>
      </c>
      <c r="B67" t="n" s="17">
        <v>7000.0</v>
      </c>
      <c r="C67" t="s" s="1">
        <v>123</v>
      </c>
      <c r="D67" t="s" s="1">
        <v>123</v>
      </c>
      <c r="E67" t="n" s="16">
        <v>45839.0</v>
      </c>
    </row>
    <row r="68" ht="12.0" customHeight="true">
      <c r="A68" t="s" s="1">
        <v>51</v>
      </c>
      <c r="B68" t="n" s="17">
        <v>7000.0</v>
      </c>
      <c r="C68" t="s" s="1">
        <v>123</v>
      </c>
      <c r="D68" t="s" s="1">
        <v>123</v>
      </c>
      <c r="E68" t="n" s="16">
        <v>45870.0</v>
      </c>
    </row>
    <row r="69" ht="12.0" customHeight="true">
      <c r="A69" t="s" s="1">
        <v>51</v>
      </c>
      <c r="B69" t="n" s="17">
        <v>7000.0</v>
      </c>
      <c r="C69" t="s" s="1">
        <v>123</v>
      </c>
      <c r="D69" t="s" s="1">
        <v>123</v>
      </c>
      <c r="E69" t="n" s="16">
        <v>45901.0</v>
      </c>
    </row>
    <row r="70" ht="12.0" customHeight="true">
      <c r="A70" t="s" s="1">
        <v>51</v>
      </c>
      <c r="B70" t="n" s="17">
        <v>7000.0</v>
      </c>
      <c r="C70" t="s" s="1">
        <v>123</v>
      </c>
      <c r="D70" t="s" s="1">
        <v>123</v>
      </c>
      <c r="E70" t="n" s="16">
        <v>45931.0</v>
      </c>
    </row>
    <row r="71" ht="12.0" customHeight="true">
      <c r="A71" t="s" s="1">
        <v>51</v>
      </c>
      <c r="B71" t="n" s="17">
        <v>7000.0</v>
      </c>
      <c r="C71" t="s" s="1">
        <v>123</v>
      </c>
      <c r="D71" t="s" s="1">
        <v>123</v>
      </c>
      <c r="E71" t="n" s="16">
        <v>45962.0</v>
      </c>
    </row>
    <row r="72" ht="12.0" customHeight="true">
      <c r="A72" t="s" s="1">
        <v>51</v>
      </c>
      <c r="B72" t="n" s="17">
        <v>7000.0</v>
      </c>
      <c r="C72" t="s" s="1">
        <v>123</v>
      </c>
      <c r="D72" t="s" s="1">
        <v>123</v>
      </c>
      <c r="E72" t="n" s="16">
        <v>45992.0</v>
      </c>
    </row>
    <row r="73" ht="12.0" customHeight="true">
      <c r="A73" t="s" s="1">
        <v>51</v>
      </c>
      <c r="B73" t="n" s="17">
        <v>7000.0</v>
      </c>
      <c r="C73" t="s" s="1">
        <v>123</v>
      </c>
      <c r="D73" t="s" s="1">
        <v>123</v>
      </c>
      <c r="E73" t="n" s="16">
        <v>46023.0</v>
      </c>
    </row>
    <row r="74" ht="12.0" customHeight="true">
      <c r="A74" t="s" s="1">
        <v>51</v>
      </c>
      <c r="B74" t="n" s="17">
        <v>7000.0</v>
      </c>
      <c r="C74" t="s" s="1">
        <v>123</v>
      </c>
      <c r="D74" t="s" s="1">
        <v>123</v>
      </c>
      <c r="E74" t="n" s="16">
        <v>46054.0</v>
      </c>
    </row>
    <row r="75" ht="12.0" customHeight="true">
      <c r="A75" t="s" s="1">
        <v>51</v>
      </c>
      <c r="B75" t="n" s="17">
        <v>7000.0</v>
      </c>
      <c r="C75" t="s" s="1">
        <v>123</v>
      </c>
      <c r="D75" t="s" s="1">
        <v>123</v>
      </c>
      <c r="E75" t="n" s="16">
        <v>46082.0</v>
      </c>
    </row>
    <row r="76" ht="12.0" customHeight="true">
      <c r="A76" t="s" s="1">
        <v>51</v>
      </c>
      <c r="B76" t="n" s="17">
        <v>7000.0</v>
      </c>
      <c r="C76" t="s" s="1">
        <v>123</v>
      </c>
      <c r="D76" t="s" s="1">
        <v>123</v>
      </c>
      <c r="E76" t="n" s="16">
        <v>46113.0</v>
      </c>
    </row>
    <row r="77" ht="12.0" customHeight="true">
      <c r="A77" t="s" s="1">
        <v>51</v>
      </c>
      <c r="B77" t="n" s="17">
        <v>7000.0</v>
      </c>
      <c r="C77" t="s" s="1">
        <v>123</v>
      </c>
      <c r="D77" t="s" s="1">
        <v>123</v>
      </c>
      <c r="E77" t="n" s="16">
        <v>46143.0</v>
      </c>
    </row>
    <row r="78" ht="12.0" customHeight="true">
      <c r="A78" t="s" s="1">
        <v>51</v>
      </c>
      <c r="B78" t="n" s="17">
        <v>7000.0</v>
      </c>
      <c r="C78" t="s" s="1">
        <v>123</v>
      </c>
      <c r="D78" t="s" s="1">
        <v>123</v>
      </c>
      <c r="E78" t="n" s="16">
        <v>46174.0</v>
      </c>
    </row>
    <row r="79" ht="12.0" customHeight="true">
      <c r="A79" t="s" s="1">
        <v>51</v>
      </c>
      <c r="B79" t="n" s="17">
        <v>7000.0</v>
      </c>
      <c r="C79" t="s" s="1">
        <v>123</v>
      </c>
      <c r="D79" t="s" s="1">
        <v>123</v>
      </c>
      <c r="E79" t="n" s="16">
        <v>46204.0</v>
      </c>
    </row>
    <row r="80">
      <c r="A80" t="s" s="1">
        <v>51</v>
      </c>
      <c r="B80" t="n" s="17">
        <v>500.0</v>
      </c>
      <c r="C80" t="s" s="1">
        <v>125</v>
      </c>
      <c r="D80" t="s" s="1">
        <v>125</v>
      </c>
      <c r="E80" t="n" s="16">
        <v>45839.0</v>
      </c>
    </row>
    <row r="81" ht="12.0" customHeight="true">
      <c r="A81" t="s" s="1">
        <v>51</v>
      </c>
      <c r="B81" t="n" s="17">
        <v>500.0</v>
      </c>
      <c r="C81" t="s" s="1">
        <v>125</v>
      </c>
      <c r="D81" t="s" s="1">
        <v>125</v>
      </c>
      <c r="E81" t="n" s="16">
        <v>45870.0</v>
      </c>
    </row>
    <row r="82" ht="12.0" customHeight="true">
      <c r="A82" t="s" s="1">
        <v>51</v>
      </c>
      <c r="B82" t="n" s="17">
        <v>500.0</v>
      </c>
      <c r="C82" t="s" s="1">
        <v>125</v>
      </c>
      <c r="D82" t="s" s="1">
        <v>125</v>
      </c>
      <c r="E82" t="n" s="16">
        <v>45901.0</v>
      </c>
    </row>
    <row r="83" ht="12.0" customHeight="true">
      <c r="A83" t="s" s="1">
        <v>51</v>
      </c>
      <c r="B83" t="n" s="17">
        <v>500.0</v>
      </c>
      <c r="C83" t="s" s="1">
        <v>125</v>
      </c>
      <c r="D83" t="s" s="1">
        <v>125</v>
      </c>
      <c r="E83" t="n" s="16">
        <v>45931.0</v>
      </c>
    </row>
    <row r="84" ht="12.0" customHeight="true">
      <c r="A84" t="s" s="1">
        <v>51</v>
      </c>
      <c r="B84" t="n" s="17">
        <v>500.0</v>
      </c>
      <c r="C84" t="s" s="1">
        <v>125</v>
      </c>
      <c r="D84" t="s" s="1">
        <v>125</v>
      </c>
      <c r="E84" t="n" s="16">
        <v>45962.0</v>
      </c>
    </row>
    <row r="85" ht="12.0" customHeight="true">
      <c r="A85" t="s" s="1">
        <v>51</v>
      </c>
      <c r="B85" t="n" s="17">
        <v>500.0</v>
      </c>
      <c r="C85" t="s" s="1">
        <v>125</v>
      </c>
      <c r="D85" t="s" s="1">
        <v>125</v>
      </c>
      <c r="E85" t="n" s="16">
        <v>45992.0</v>
      </c>
    </row>
    <row r="86" ht="12.0" customHeight="true">
      <c r="A86" t="s" s="1">
        <v>51</v>
      </c>
      <c r="B86" t="n" s="17">
        <v>500.0</v>
      </c>
      <c r="C86" t="s" s="1">
        <v>125</v>
      </c>
      <c r="D86" t="s" s="1">
        <v>125</v>
      </c>
      <c r="E86" t="n" s="16">
        <v>46023.0</v>
      </c>
    </row>
    <row r="87" ht="12.0" customHeight="true">
      <c r="A87" t="s" s="1">
        <v>51</v>
      </c>
      <c r="B87" t="n" s="17">
        <v>500.0</v>
      </c>
      <c r="C87" t="s" s="1">
        <v>125</v>
      </c>
      <c r="D87" t="s" s="1">
        <v>125</v>
      </c>
      <c r="E87" t="n" s="16">
        <v>46054.0</v>
      </c>
    </row>
    <row r="88" ht="12.0" customHeight="true">
      <c r="A88" t="s" s="1">
        <v>51</v>
      </c>
      <c r="B88" t="n" s="17">
        <v>500.0</v>
      </c>
      <c r="C88" t="s" s="1">
        <v>125</v>
      </c>
      <c r="D88" t="s" s="1">
        <v>125</v>
      </c>
      <c r="E88" t="n" s="16">
        <v>46082.0</v>
      </c>
    </row>
    <row r="89" ht="12.0" customHeight="true">
      <c r="A89" t="s" s="1">
        <v>51</v>
      </c>
      <c r="B89" t="n" s="17">
        <v>500.0</v>
      </c>
      <c r="C89" t="s" s="1">
        <v>125</v>
      </c>
      <c r="D89" t="s" s="1">
        <v>125</v>
      </c>
      <c r="E89" t="n" s="16">
        <v>46113.0</v>
      </c>
    </row>
    <row r="90" ht="12.0" customHeight="true">
      <c r="A90" t="s" s="1">
        <v>51</v>
      </c>
      <c r="B90" t="n" s="17">
        <v>500.0</v>
      </c>
      <c r="C90" t="s" s="1">
        <v>125</v>
      </c>
      <c r="D90" t="s" s="1">
        <v>125</v>
      </c>
      <c r="E90" t="n" s="16">
        <v>46143.0</v>
      </c>
    </row>
    <row r="91" ht="12.0" customHeight="true">
      <c r="A91" t="s" s="1">
        <v>51</v>
      </c>
      <c r="B91" t="n" s="17">
        <v>500.0</v>
      </c>
      <c r="C91" t="s" s="1">
        <v>125</v>
      </c>
      <c r="D91" t="s" s="1">
        <v>125</v>
      </c>
      <c r="E91" t="n" s="16">
        <v>46174.0</v>
      </c>
    </row>
    <row r="92" ht="12.0" customHeight="true">
      <c r="A92" t="s" s="1">
        <v>51</v>
      </c>
      <c r="B92" t="n" s="17">
        <v>500.0</v>
      </c>
      <c r="C92" t="s" s="1">
        <v>125</v>
      </c>
      <c r="D92" t="s" s="1">
        <v>125</v>
      </c>
      <c r="E92" t="n" s="16">
        <v>46204.0</v>
      </c>
    </row>
    <row r="93">
      <c r="A93" t="s" s="1">
        <v>8</v>
      </c>
      <c r="B93" t="n" s="17">
        <v>2000.0</v>
      </c>
      <c r="C93" t="s" s="1">
        <v>10</v>
      </c>
      <c r="D93" t="s" s="1">
        <v>10</v>
      </c>
      <c r="E93" t="n" s="16">
        <v>45839.0</v>
      </c>
    </row>
    <row r="94" ht="12.0" customHeight="true">
      <c r="A94" t="s" s="1">
        <v>8</v>
      </c>
      <c r="B94" t="n" s="17">
        <v>2000.0</v>
      </c>
      <c r="C94" t="s" s="1">
        <v>10</v>
      </c>
      <c r="D94" t="s" s="1">
        <v>10</v>
      </c>
      <c r="E94" t="n" s="16">
        <v>45870.0</v>
      </c>
    </row>
    <row r="95" ht="12.0" customHeight="true">
      <c r="A95" t="s" s="1">
        <v>8</v>
      </c>
      <c r="B95" t="n" s="17">
        <v>2000.0</v>
      </c>
      <c r="C95" t="s" s="1">
        <v>10</v>
      </c>
      <c r="D95" t="s" s="1">
        <v>10</v>
      </c>
      <c r="E95" t="n" s="16">
        <v>45901.0</v>
      </c>
    </row>
    <row r="96" ht="12.0" customHeight="true">
      <c r="A96" t="s" s="1">
        <v>8</v>
      </c>
      <c r="B96" t="n" s="17">
        <v>2000.0</v>
      </c>
      <c r="C96" t="s" s="1">
        <v>10</v>
      </c>
      <c r="D96" t="s" s="1">
        <v>10</v>
      </c>
      <c r="E96" t="n" s="16">
        <v>45931.0</v>
      </c>
    </row>
    <row r="97" ht="12.0" customHeight="true">
      <c r="A97" t="s" s="1">
        <v>8</v>
      </c>
      <c r="B97" t="n" s="17">
        <v>2000.0</v>
      </c>
      <c r="C97" t="s" s="1">
        <v>10</v>
      </c>
      <c r="D97" t="s" s="1">
        <v>10</v>
      </c>
      <c r="E97" t="n" s="16">
        <v>45962.0</v>
      </c>
    </row>
    <row r="98" ht="12.0" customHeight="true">
      <c r="A98" t="s" s="1">
        <v>8</v>
      </c>
      <c r="B98" t="n" s="17">
        <v>2000.0</v>
      </c>
      <c r="C98" t="s" s="1">
        <v>10</v>
      </c>
      <c r="D98" t="s" s="1">
        <v>10</v>
      </c>
      <c r="E98" t="n" s="16">
        <v>45992.0</v>
      </c>
    </row>
    <row r="99" ht="12.0" customHeight="true">
      <c r="A99" t="s" s="1">
        <v>8</v>
      </c>
      <c r="B99" t="n" s="17">
        <v>2000.0</v>
      </c>
      <c r="C99" t="s" s="1">
        <v>10</v>
      </c>
      <c r="D99" t="s" s="1">
        <v>10</v>
      </c>
      <c r="E99" t="n" s="16">
        <v>46023.0</v>
      </c>
    </row>
    <row r="100" ht="12.0" customHeight="true">
      <c r="A100" t="s" s="1">
        <v>8</v>
      </c>
      <c r="B100" t="n" s="17">
        <v>2000.0</v>
      </c>
      <c r="C100" t="s" s="1">
        <v>10</v>
      </c>
      <c r="D100" t="s" s="1">
        <v>10</v>
      </c>
      <c r="E100" t="n" s="16">
        <v>46054.0</v>
      </c>
    </row>
    <row r="101" ht="12.0" customHeight="true">
      <c r="A101" t="s" s="1">
        <v>8</v>
      </c>
      <c r="B101" t="n" s="17">
        <v>2000.0</v>
      </c>
      <c r="C101" t="s" s="1">
        <v>10</v>
      </c>
      <c r="D101" t="s" s="1">
        <v>10</v>
      </c>
      <c r="E101" t="n" s="16">
        <v>46082.0</v>
      </c>
    </row>
    <row r="102" ht="12.0" customHeight="true">
      <c r="A102" t="s" s="1">
        <v>8</v>
      </c>
      <c r="B102" t="n" s="17">
        <v>2000.0</v>
      </c>
      <c r="C102" t="s" s="1">
        <v>10</v>
      </c>
      <c r="D102" t="s" s="1">
        <v>10</v>
      </c>
      <c r="E102" t="n" s="16">
        <v>46113.0</v>
      </c>
    </row>
    <row r="103" ht="12.0" customHeight="true">
      <c r="A103" t="s" s="1">
        <v>8</v>
      </c>
      <c r="B103" t="n" s="17">
        <v>2000.0</v>
      </c>
      <c r="C103" t="s" s="1">
        <v>10</v>
      </c>
      <c r="D103" t="s" s="1">
        <v>10</v>
      </c>
      <c r="E103" t="n" s="16">
        <v>46143.0</v>
      </c>
    </row>
    <row r="104" ht="12.0" customHeight="true">
      <c r="A104" t="s" s="1">
        <v>8</v>
      </c>
      <c r="B104" t="n" s="17">
        <v>2000.0</v>
      </c>
      <c r="C104" t="s" s="1">
        <v>10</v>
      </c>
      <c r="D104" t="s" s="1">
        <v>10</v>
      </c>
      <c r="E104" t="n" s="16">
        <v>46174.0</v>
      </c>
    </row>
    <row r="105" ht="12.0" customHeight="true">
      <c r="A105" t="s" s="1">
        <v>8</v>
      </c>
      <c r="B105" t="n" s="17">
        <v>2000.0</v>
      </c>
      <c r="C105" t="s" s="1">
        <v>10</v>
      </c>
      <c r="D105" t="s" s="1">
        <v>10</v>
      </c>
      <c r="E105" t="n" s="16">
        <v>46204.0</v>
      </c>
    </row>
    <row r="106">
      <c r="A106" t="s" s="1">
        <v>51</v>
      </c>
      <c r="B106" t="n" s="17">
        <v>3000.0</v>
      </c>
      <c r="C106" t="s" s="1">
        <v>128</v>
      </c>
      <c r="D106" t="s" s="1">
        <v>128</v>
      </c>
      <c r="E106" t="n" s="16">
        <v>45839.0</v>
      </c>
    </row>
    <row r="107" ht="12.0" customHeight="true">
      <c r="A107" t="s" s="1">
        <v>51</v>
      </c>
      <c r="B107" t="n" s="17">
        <v>3000.0</v>
      </c>
      <c r="C107" t="s" s="1">
        <v>128</v>
      </c>
      <c r="D107" t="s" s="1">
        <v>128</v>
      </c>
      <c r="E107" t="n" s="16">
        <v>45870.0</v>
      </c>
    </row>
    <row r="108" ht="12.0" customHeight="true">
      <c r="A108" t="s" s="1">
        <v>51</v>
      </c>
      <c r="B108" t="n" s="17">
        <v>3000.0</v>
      </c>
      <c r="C108" t="s" s="1">
        <v>128</v>
      </c>
      <c r="D108" t="s" s="1">
        <v>128</v>
      </c>
      <c r="E108" t="n" s="16">
        <v>45901.0</v>
      </c>
    </row>
    <row r="109" ht="12.0" customHeight="true">
      <c r="A109" t="s" s="1">
        <v>51</v>
      </c>
      <c r="B109" t="n" s="17">
        <v>3000.0</v>
      </c>
      <c r="C109" t="s" s="1">
        <v>128</v>
      </c>
      <c r="D109" t="s" s="1">
        <v>128</v>
      </c>
      <c r="E109" t="n" s="16">
        <v>45931.0</v>
      </c>
    </row>
    <row r="110" ht="12.0" customHeight="true">
      <c r="A110" t="s" s="1">
        <v>51</v>
      </c>
      <c r="B110" t="n" s="17">
        <v>3000.0</v>
      </c>
      <c r="C110" t="s" s="1">
        <v>128</v>
      </c>
      <c r="D110" t="s" s="1">
        <v>128</v>
      </c>
      <c r="E110" t="n" s="16">
        <v>45962.0</v>
      </c>
    </row>
    <row r="111" ht="12.0" customHeight="true">
      <c r="A111" t="s" s="1">
        <v>51</v>
      </c>
      <c r="B111" t="n" s="17">
        <v>3000.0</v>
      </c>
      <c r="C111" t="s" s="1">
        <v>128</v>
      </c>
      <c r="D111" t="s" s="1">
        <v>128</v>
      </c>
      <c r="E111" t="n" s="16">
        <v>45992.0</v>
      </c>
    </row>
    <row r="112" ht="12.0" customHeight="true">
      <c r="A112" t="s" s="1">
        <v>51</v>
      </c>
      <c r="B112" t="n" s="17">
        <v>3000.0</v>
      </c>
      <c r="C112" t="s" s="1">
        <v>128</v>
      </c>
      <c r="D112" t="s" s="1">
        <v>128</v>
      </c>
      <c r="E112" t="n" s="16">
        <v>46023.0</v>
      </c>
    </row>
    <row r="113" ht="12.0" customHeight="true">
      <c r="A113" t="s" s="1">
        <v>51</v>
      </c>
      <c r="B113" t="n" s="17">
        <v>3000.0</v>
      </c>
      <c r="C113" t="s" s="1">
        <v>128</v>
      </c>
      <c r="D113" t="s" s="1">
        <v>128</v>
      </c>
      <c r="E113" t="n" s="16">
        <v>46054.0</v>
      </c>
    </row>
    <row r="114" ht="12.0" customHeight="true">
      <c r="A114" t="s" s="1">
        <v>51</v>
      </c>
      <c r="B114" t="n" s="17">
        <v>3000.0</v>
      </c>
      <c r="C114" t="s" s="1">
        <v>128</v>
      </c>
      <c r="D114" t="s" s="1">
        <v>128</v>
      </c>
      <c r="E114" t="n" s="16">
        <v>46082.0</v>
      </c>
    </row>
    <row r="115" ht="12.0" customHeight="true">
      <c r="A115" t="s" s="1">
        <v>51</v>
      </c>
      <c r="B115" t="n" s="17">
        <v>3000.0</v>
      </c>
      <c r="C115" t="s" s="1">
        <v>128</v>
      </c>
      <c r="D115" t="s" s="1">
        <v>128</v>
      </c>
      <c r="E115" t="n" s="16">
        <v>46113.0</v>
      </c>
    </row>
    <row r="116" ht="12.0" customHeight="true">
      <c r="A116" t="s" s="1">
        <v>51</v>
      </c>
      <c r="B116" t="n" s="17">
        <v>3000.0</v>
      </c>
      <c r="C116" t="s" s="1">
        <v>128</v>
      </c>
      <c r="D116" t="s" s="1">
        <v>128</v>
      </c>
      <c r="E116" t="n" s="16">
        <v>46143.0</v>
      </c>
    </row>
    <row r="117" ht="12.0" customHeight="true">
      <c r="A117" t="s" s="1">
        <v>51</v>
      </c>
      <c r="B117" t="n" s="17">
        <v>3000.0</v>
      </c>
      <c r="C117" t="s" s="1">
        <v>128</v>
      </c>
      <c r="D117" t="s" s="1">
        <v>128</v>
      </c>
      <c r="E117" t="n" s="16">
        <v>46174.0</v>
      </c>
    </row>
    <row r="118" ht="12.0" customHeight="true">
      <c r="A118" t="s" s="1">
        <v>51</v>
      </c>
      <c r="B118" t="n" s="17">
        <v>3000.0</v>
      </c>
      <c r="C118" t="s" s="1">
        <v>128</v>
      </c>
      <c r="D118" t="s" s="1">
        <v>128</v>
      </c>
      <c r="E118" t="n" s="16">
        <v>46204.0</v>
      </c>
    </row>
    <row r="119">
      <c r="A119" t="s" s="1">
        <v>8</v>
      </c>
      <c r="B119" t="n" s="17">
        <v>1145.0</v>
      </c>
      <c r="C119" t="s" s="1">
        <v>130</v>
      </c>
      <c r="D119" t="s" s="1">
        <v>130</v>
      </c>
      <c r="E119" t="n" s="16">
        <v>45839.0</v>
      </c>
    </row>
    <row r="120" ht="12.0" customHeight="true">
      <c r="A120" t="s" s="1">
        <v>8</v>
      </c>
      <c r="B120" t="n" s="17">
        <v>1145.0</v>
      </c>
      <c r="C120" t="s" s="1">
        <v>130</v>
      </c>
      <c r="D120" t="s" s="1">
        <v>130</v>
      </c>
      <c r="E120" t="n" s="16">
        <v>45870.0</v>
      </c>
    </row>
    <row r="121" ht="12.0" customHeight="true">
      <c r="A121" t="s" s="1">
        <v>8</v>
      </c>
      <c r="B121" t="n" s="17">
        <v>1145.0</v>
      </c>
      <c r="C121" t="s" s="1">
        <v>130</v>
      </c>
      <c r="D121" t="s" s="1">
        <v>130</v>
      </c>
      <c r="E121" t="n" s="16">
        <v>45901.0</v>
      </c>
    </row>
    <row r="122" ht="12.0" customHeight="true">
      <c r="A122" t="s" s="1">
        <v>8</v>
      </c>
      <c r="B122" t="n" s="17">
        <v>1145.0</v>
      </c>
      <c r="C122" t="s" s="1">
        <v>130</v>
      </c>
      <c r="D122" t="s" s="1">
        <v>130</v>
      </c>
      <c r="E122" t="n" s="16">
        <v>45931.0</v>
      </c>
    </row>
    <row r="123" ht="12.0" customHeight="true">
      <c r="A123" t="s" s="1">
        <v>8</v>
      </c>
      <c r="B123" t="n" s="17">
        <v>1145.0</v>
      </c>
      <c r="C123" t="s" s="1">
        <v>130</v>
      </c>
      <c r="D123" t="s" s="1">
        <v>130</v>
      </c>
      <c r="E123" t="n" s="16">
        <v>45962.0</v>
      </c>
    </row>
    <row r="124" ht="12.0" customHeight="true">
      <c r="A124" t="s" s="1">
        <v>8</v>
      </c>
      <c r="B124" t="n" s="17">
        <v>1145.0</v>
      </c>
      <c r="C124" t="s" s="1">
        <v>130</v>
      </c>
      <c r="D124" t="s" s="1">
        <v>130</v>
      </c>
      <c r="E124" t="n" s="16">
        <v>45992.0</v>
      </c>
    </row>
    <row r="125" ht="12.0" customHeight="true">
      <c r="A125" t="s" s="1">
        <v>8</v>
      </c>
      <c r="B125" t="n" s="17">
        <v>1145.0</v>
      </c>
      <c r="C125" t="s" s="1">
        <v>130</v>
      </c>
      <c r="D125" t="s" s="1">
        <v>130</v>
      </c>
      <c r="E125" t="n" s="16">
        <v>46023.0</v>
      </c>
    </row>
    <row r="126" ht="12.0" customHeight="true">
      <c r="A126" t="s" s="1">
        <v>8</v>
      </c>
      <c r="B126" t="n" s="17">
        <v>1145.0</v>
      </c>
      <c r="C126" t="s" s="1">
        <v>130</v>
      </c>
      <c r="D126" t="s" s="1">
        <v>130</v>
      </c>
      <c r="E126" t="n" s="16">
        <v>46054.0</v>
      </c>
    </row>
    <row r="127" ht="12.0" customHeight="true">
      <c r="A127" t="s" s="1">
        <v>8</v>
      </c>
      <c r="B127" t="n" s="17">
        <v>1145.0</v>
      </c>
      <c r="C127" t="s" s="1">
        <v>130</v>
      </c>
      <c r="D127" t="s" s="1">
        <v>130</v>
      </c>
      <c r="E127" t="n" s="16">
        <v>46082.0</v>
      </c>
    </row>
    <row r="128" ht="12.0" customHeight="true">
      <c r="A128" t="s" s="1">
        <v>8</v>
      </c>
      <c r="B128" t="n" s="17">
        <v>1145.0</v>
      </c>
      <c r="C128" t="s" s="1">
        <v>130</v>
      </c>
      <c r="D128" t="s" s="1">
        <v>130</v>
      </c>
      <c r="E128" t="n" s="16">
        <v>46113.0</v>
      </c>
    </row>
    <row r="129" ht="12.0" customHeight="true">
      <c r="A129" t="s" s="1">
        <v>8</v>
      </c>
      <c r="B129" t="n" s="17">
        <v>1145.0</v>
      </c>
      <c r="C129" t="s" s="1">
        <v>130</v>
      </c>
      <c r="D129" t="s" s="1">
        <v>130</v>
      </c>
      <c r="E129" t="n" s="16">
        <v>46143.0</v>
      </c>
    </row>
    <row r="130" ht="12.0" customHeight="true">
      <c r="A130" t="s" s="1">
        <v>8</v>
      </c>
      <c r="B130" t="n" s="17">
        <v>1145.0</v>
      </c>
      <c r="C130" t="s" s="1">
        <v>130</v>
      </c>
      <c r="D130" t="s" s="1">
        <v>130</v>
      </c>
      <c r="E130" t="n" s="16">
        <v>46174.0</v>
      </c>
    </row>
    <row r="131" ht="12.0" customHeight="true">
      <c r="A131" t="s" s="1">
        <v>8</v>
      </c>
      <c r="B131" t="n" s="17">
        <v>1145.0</v>
      </c>
      <c r="C131" t="s" s="1">
        <v>130</v>
      </c>
      <c r="D131" t="s" s="1">
        <v>130</v>
      </c>
      <c r="E131" t="n" s="16">
        <v>46204.0</v>
      </c>
    </row>
    <row r="132">
      <c r="A132" t="s" s="1">
        <v>8</v>
      </c>
      <c r="B132" t="n" s="17">
        <v>1000.0</v>
      </c>
      <c r="C132" t="s" s="1">
        <v>132</v>
      </c>
      <c r="D132" t="s" s="1">
        <v>132</v>
      </c>
      <c r="E132" t="n" s="16">
        <v>45839.0</v>
      </c>
    </row>
    <row r="133" ht="12.0" customHeight="true">
      <c r="A133" t="s" s="1">
        <v>8</v>
      </c>
      <c r="B133" t="n" s="17">
        <v>1000.0</v>
      </c>
      <c r="C133" t="s" s="1">
        <v>132</v>
      </c>
      <c r="D133" t="s" s="1">
        <v>132</v>
      </c>
      <c r="E133" t="n" s="16">
        <v>45870.0</v>
      </c>
    </row>
    <row r="134" ht="12.0" customHeight="true">
      <c r="A134" t="s" s="1">
        <v>8</v>
      </c>
      <c r="B134" t="n" s="17">
        <v>1000.0</v>
      </c>
      <c r="C134" t="s" s="1">
        <v>132</v>
      </c>
      <c r="D134" t="s" s="1">
        <v>132</v>
      </c>
      <c r="E134" t="n" s="16">
        <v>45901.0</v>
      </c>
    </row>
    <row r="135" ht="12.0" customHeight="true">
      <c r="A135" t="s" s="1">
        <v>8</v>
      </c>
      <c r="B135" t="n" s="17">
        <v>1000.0</v>
      </c>
      <c r="C135" t="s" s="1">
        <v>132</v>
      </c>
      <c r="D135" t="s" s="1">
        <v>132</v>
      </c>
      <c r="E135" t="n" s="16">
        <v>45931.0</v>
      </c>
    </row>
    <row r="136" ht="12.0" customHeight="true">
      <c r="A136" t="s" s="1">
        <v>8</v>
      </c>
      <c r="B136" t="n" s="17">
        <v>1000.0</v>
      </c>
      <c r="C136" t="s" s="1">
        <v>132</v>
      </c>
      <c r="D136" t="s" s="1">
        <v>132</v>
      </c>
      <c r="E136" t="n" s="16">
        <v>45962.0</v>
      </c>
    </row>
    <row r="137" ht="12.0" customHeight="true">
      <c r="A137" t="s" s="1">
        <v>8</v>
      </c>
      <c r="B137" t="n" s="17">
        <v>1000.0</v>
      </c>
      <c r="C137" t="s" s="1">
        <v>132</v>
      </c>
      <c r="D137" t="s" s="1">
        <v>132</v>
      </c>
      <c r="E137" t="n" s="16">
        <v>45992.0</v>
      </c>
    </row>
    <row r="138" ht="12.0" customHeight="true">
      <c r="A138" t="s" s="1">
        <v>8</v>
      </c>
      <c r="B138" t="n" s="17">
        <v>1000.0</v>
      </c>
      <c r="C138" t="s" s="1">
        <v>132</v>
      </c>
      <c r="D138" t="s" s="1">
        <v>132</v>
      </c>
      <c r="E138" t="n" s="16">
        <v>46023.0</v>
      </c>
    </row>
    <row r="139" ht="12.0" customHeight="true">
      <c r="A139" t="s" s="1">
        <v>8</v>
      </c>
      <c r="B139" t="n" s="17">
        <v>1000.0</v>
      </c>
      <c r="C139" t="s" s="1">
        <v>132</v>
      </c>
      <c r="D139" t="s" s="1">
        <v>132</v>
      </c>
      <c r="E139" t="n" s="16">
        <v>46054.0</v>
      </c>
    </row>
    <row r="140" ht="12.0" customHeight="true">
      <c r="A140" t="s" s="1">
        <v>8</v>
      </c>
      <c r="B140" t="n" s="17">
        <v>1000.0</v>
      </c>
      <c r="C140" t="s" s="1">
        <v>132</v>
      </c>
      <c r="D140" t="s" s="1">
        <v>132</v>
      </c>
      <c r="E140" t="n" s="16">
        <v>46082.0</v>
      </c>
    </row>
    <row r="141" ht="12.0" customHeight="true">
      <c r="A141" t="s" s="1">
        <v>8</v>
      </c>
      <c r="B141" t="n" s="17">
        <v>1000.0</v>
      </c>
      <c r="C141" t="s" s="1">
        <v>132</v>
      </c>
      <c r="D141" t="s" s="1">
        <v>132</v>
      </c>
      <c r="E141" t="n" s="16">
        <v>46113.0</v>
      </c>
    </row>
    <row r="142" ht="12.0" customHeight="true">
      <c r="A142" t="s" s="1">
        <v>8</v>
      </c>
      <c r="B142" t="n" s="17">
        <v>1000.0</v>
      </c>
      <c r="C142" t="s" s="1">
        <v>132</v>
      </c>
      <c r="D142" t="s" s="1">
        <v>132</v>
      </c>
      <c r="E142" t="n" s="16">
        <v>46143.0</v>
      </c>
    </row>
    <row r="143" ht="12.0" customHeight="true">
      <c r="A143" t="s" s="1">
        <v>8</v>
      </c>
      <c r="B143" t="n" s="17">
        <v>1000.0</v>
      </c>
      <c r="C143" t="s" s="1">
        <v>132</v>
      </c>
      <c r="D143" t="s" s="1">
        <v>132</v>
      </c>
      <c r="E143" t="n" s="16">
        <v>46174.0</v>
      </c>
    </row>
    <row r="144" ht="12.0" customHeight="true">
      <c r="A144" t="s" s="1">
        <v>8</v>
      </c>
      <c r="B144" t="n" s="17">
        <v>1000.0</v>
      </c>
      <c r="C144" t="s" s="1">
        <v>132</v>
      </c>
      <c r="D144" t="s" s="1">
        <v>132</v>
      </c>
      <c r="E144" t="n" s="16">
        <v>46204.0</v>
      </c>
    </row>
    <row r="145">
      <c r="A145" t="s" s="1">
        <v>8</v>
      </c>
      <c r="B145" t="n" s="17">
        <v>500.0</v>
      </c>
      <c r="C145" t="s" s="1">
        <v>134</v>
      </c>
      <c r="D145" t="s" s="1">
        <v>134</v>
      </c>
      <c r="E145" t="n" s="16">
        <v>45839.0</v>
      </c>
    </row>
    <row r="146" ht="12.0" customHeight="true">
      <c r="A146" t="s" s="1">
        <v>8</v>
      </c>
      <c r="B146" t="n" s="17">
        <v>500.0</v>
      </c>
      <c r="C146" t="s" s="1">
        <v>134</v>
      </c>
      <c r="D146" t="s" s="1">
        <v>134</v>
      </c>
      <c r="E146" t="n" s="16">
        <v>45870.0</v>
      </c>
    </row>
    <row r="147" ht="12.0" customHeight="true">
      <c r="A147" t="s" s="1">
        <v>8</v>
      </c>
      <c r="B147" t="n" s="17">
        <v>500.0</v>
      </c>
      <c r="C147" t="s" s="1">
        <v>134</v>
      </c>
      <c r="D147" t="s" s="1">
        <v>134</v>
      </c>
      <c r="E147" t="n" s="16">
        <v>45901.0</v>
      </c>
    </row>
    <row r="148" ht="12.0" customHeight="true">
      <c r="A148" t="s" s="1">
        <v>8</v>
      </c>
      <c r="B148" t="n" s="17">
        <v>500.0</v>
      </c>
      <c r="C148" t="s" s="1">
        <v>134</v>
      </c>
      <c r="D148" t="s" s="1">
        <v>134</v>
      </c>
      <c r="E148" t="n" s="16">
        <v>45931.0</v>
      </c>
    </row>
    <row r="149" ht="12.0" customHeight="true">
      <c r="A149" t="s" s="1">
        <v>8</v>
      </c>
      <c r="B149" t="n" s="17">
        <v>500.0</v>
      </c>
      <c r="C149" t="s" s="1">
        <v>134</v>
      </c>
      <c r="D149" t="s" s="1">
        <v>134</v>
      </c>
      <c r="E149" t="n" s="16">
        <v>45962.0</v>
      </c>
    </row>
    <row r="150" ht="12.0" customHeight="true">
      <c r="A150" t="s" s="1">
        <v>8</v>
      </c>
      <c r="B150" t="n" s="17">
        <v>500.0</v>
      </c>
      <c r="C150" t="s" s="1">
        <v>134</v>
      </c>
      <c r="D150" t="s" s="1">
        <v>134</v>
      </c>
      <c r="E150" t="n" s="16">
        <v>45992.0</v>
      </c>
    </row>
    <row r="151" ht="12.0" customHeight="true">
      <c r="A151" t="s" s="1">
        <v>8</v>
      </c>
      <c r="B151" t="n" s="17">
        <v>500.0</v>
      </c>
      <c r="C151" t="s" s="1">
        <v>134</v>
      </c>
      <c r="D151" t="s" s="1">
        <v>134</v>
      </c>
      <c r="E151" t="n" s="16">
        <v>46023.0</v>
      </c>
    </row>
    <row r="152" ht="12.0" customHeight="true">
      <c r="A152" t="s" s="1">
        <v>8</v>
      </c>
      <c r="B152" t="n" s="17">
        <v>500.0</v>
      </c>
      <c r="C152" t="s" s="1">
        <v>134</v>
      </c>
      <c r="D152" t="s" s="1">
        <v>134</v>
      </c>
      <c r="E152" t="n" s="16">
        <v>46054.0</v>
      </c>
    </row>
    <row r="153" ht="12.0" customHeight="true">
      <c r="A153" t="s" s="1">
        <v>8</v>
      </c>
      <c r="B153" t="n" s="17">
        <v>500.0</v>
      </c>
      <c r="C153" t="s" s="1">
        <v>134</v>
      </c>
      <c r="D153" t="s" s="1">
        <v>134</v>
      </c>
      <c r="E153" t="n" s="16">
        <v>46082.0</v>
      </c>
    </row>
    <row r="154" ht="12.0" customHeight="true">
      <c r="A154" t="s" s="1">
        <v>8</v>
      </c>
      <c r="B154" t="n" s="17">
        <v>500.0</v>
      </c>
      <c r="C154" t="s" s="1">
        <v>134</v>
      </c>
      <c r="D154" t="s" s="1">
        <v>134</v>
      </c>
      <c r="E154" t="n" s="16">
        <v>46113.0</v>
      </c>
    </row>
    <row r="155" ht="12.0" customHeight="true">
      <c r="A155" t="s" s="1">
        <v>8</v>
      </c>
      <c r="B155" t="n" s="17">
        <v>500.0</v>
      </c>
      <c r="C155" t="s" s="1">
        <v>134</v>
      </c>
      <c r="D155" t="s" s="1">
        <v>134</v>
      </c>
      <c r="E155" t="n" s="16">
        <v>46143.0</v>
      </c>
    </row>
    <row r="156" ht="12.0" customHeight="true">
      <c r="A156" t="s" s="1">
        <v>8</v>
      </c>
      <c r="B156" t="n" s="17">
        <v>500.0</v>
      </c>
      <c r="C156" t="s" s="1">
        <v>134</v>
      </c>
      <c r="D156" t="s" s="1">
        <v>134</v>
      </c>
      <c r="E156" t="n" s="16">
        <v>46174.0</v>
      </c>
    </row>
    <row r="157" ht="12.0" customHeight="true">
      <c r="A157" t="s" s="1">
        <v>8</v>
      </c>
      <c r="B157" t="n" s="17">
        <v>500.0</v>
      </c>
      <c r="C157" t="s" s="1">
        <v>134</v>
      </c>
      <c r="D157" t="s" s="1">
        <v>134</v>
      </c>
      <c r="E157" t="n" s="16">
        <v>46204.0</v>
      </c>
    </row>
    <row r="158">
      <c r="A158" t="s" s="1">
        <v>26</v>
      </c>
      <c r="B158" t="n" s="17">
        <v>688.0</v>
      </c>
      <c r="C158" t="s" s="1">
        <v>136</v>
      </c>
      <c r="D158" t="s" s="1">
        <v>136</v>
      </c>
      <c r="E158" t="n" s="16">
        <v>45839.0</v>
      </c>
    </row>
    <row r="159" ht="12.0" customHeight="true">
      <c r="A159" t="s" s="1">
        <v>26</v>
      </c>
      <c r="B159" t="n" s="17">
        <v>688.0</v>
      </c>
      <c r="C159" t="s" s="1">
        <v>136</v>
      </c>
      <c r="D159" t="s" s="1">
        <v>136</v>
      </c>
      <c r="E159" t="n" s="16">
        <v>45870.0</v>
      </c>
    </row>
    <row r="160" ht="12.0" customHeight="true">
      <c r="A160" t="s" s="1">
        <v>26</v>
      </c>
      <c r="B160" t="n" s="17">
        <v>688.0</v>
      </c>
      <c r="C160" t="s" s="1">
        <v>136</v>
      </c>
      <c r="D160" t="s" s="1">
        <v>136</v>
      </c>
      <c r="E160" t="n" s="16">
        <v>45901.0</v>
      </c>
    </row>
    <row r="161" ht="12.0" customHeight="true">
      <c r="A161" t="s" s="1">
        <v>26</v>
      </c>
      <c r="B161" t="n" s="17">
        <v>688.0</v>
      </c>
      <c r="C161" t="s" s="1">
        <v>136</v>
      </c>
      <c r="D161" t="s" s="1">
        <v>136</v>
      </c>
      <c r="E161" t="n" s="16">
        <v>45931.0</v>
      </c>
    </row>
    <row r="162" ht="12.0" customHeight="true">
      <c r="A162" t="s" s="1">
        <v>26</v>
      </c>
      <c r="B162" t="n" s="17">
        <v>688.0</v>
      </c>
      <c r="C162" t="s" s="1">
        <v>136</v>
      </c>
      <c r="D162" t="s" s="1">
        <v>136</v>
      </c>
      <c r="E162" t="n" s="16">
        <v>45962.0</v>
      </c>
    </row>
    <row r="163" ht="12.0" customHeight="true">
      <c r="A163" t="s" s="1">
        <v>26</v>
      </c>
      <c r="B163" t="n" s="17">
        <v>688.0</v>
      </c>
      <c r="C163" t="s" s="1">
        <v>136</v>
      </c>
      <c r="D163" t="s" s="1">
        <v>136</v>
      </c>
      <c r="E163" t="n" s="16">
        <v>45992.0</v>
      </c>
    </row>
    <row r="164" ht="12.0" customHeight="true">
      <c r="A164" t="s" s="1">
        <v>26</v>
      </c>
      <c r="B164" t="n" s="17">
        <v>688.0</v>
      </c>
      <c r="C164" t="s" s="1">
        <v>136</v>
      </c>
      <c r="D164" t="s" s="1">
        <v>136</v>
      </c>
      <c r="E164" t="n" s="16">
        <v>46023.0</v>
      </c>
    </row>
    <row r="165" ht="12.0" customHeight="true">
      <c r="A165" t="s" s="1">
        <v>26</v>
      </c>
      <c r="B165" t="n" s="17">
        <v>688.0</v>
      </c>
      <c r="C165" t="s" s="1">
        <v>136</v>
      </c>
      <c r="D165" t="s" s="1">
        <v>136</v>
      </c>
      <c r="E165" t="n" s="16">
        <v>46054.0</v>
      </c>
    </row>
    <row r="166" ht="12.0" customHeight="true">
      <c r="A166" t="s" s="1">
        <v>26</v>
      </c>
      <c r="B166" t="n" s="17">
        <v>688.0</v>
      </c>
      <c r="C166" t="s" s="1">
        <v>136</v>
      </c>
      <c r="D166" t="s" s="1">
        <v>136</v>
      </c>
      <c r="E166" t="n" s="16">
        <v>46082.0</v>
      </c>
    </row>
    <row r="167" ht="12.0" customHeight="true">
      <c r="A167" t="s" s="1">
        <v>26</v>
      </c>
      <c r="B167" t="n" s="17">
        <v>688.0</v>
      </c>
      <c r="C167" t="s" s="1">
        <v>136</v>
      </c>
      <c r="D167" t="s" s="1">
        <v>136</v>
      </c>
      <c r="E167" t="n" s="16">
        <v>46113.0</v>
      </c>
    </row>
    <row r="168" ht="12.0" customHeight="true">
      <c r="A168" t="s" s="1">
        <v>26</v>
      </c>
      <c r="B168" t="n" s="17">
        <v>688.0</v>
      </c>
      <c r="C168" t="s" s="1">
        <v>136</v>
      </c>
      <c r="D168" t="s" s="1">
        <v>136</v>
      </c>
      <c r="E168" t="n" s="16">
        <v>46143.0</v>
      </c>
    </row>
    <row r="169" ht="12.0" customHeight="true">
      <c r="A169" t="s" s="1">
        <v>26</v>
      </c>
      <c r="B169" t="n" s="17">
        <v>688.0</v>
      </c>
      <c r="C169" t="s" s="1">
        <v>136</v>
      </c>
      <c r="D169" t="s" s="1">
        <v>136</v>
      </c>
      <c r="E169" t="n" s="16">
        <v>46174.0</v>
      </c>
    </row>
    <row r="170" ht="12.0" customHeight="true">
      <c r="A170" t="s" s="1">
        <v>26</v>
      </c>
      <c r="B170" t="n" s="17">
        <v>688.0</v>
      </c>
      <c r="C170" t="s" s="1">
        <v>136</v>
      </c>
      <c r="D170" t="s" s="1">
        <v>136</v>
      </c>
      <c r="E170" t="n" s="16">
        <v>46204.0</v>
      </c>
    </row>
    <row r="171">
      <c r="A171" t="s" s="1">
        <v>139</v>
      </c>
      <c r="B171" t="n" s="17">
        <v>2500.0</v>
      </c>
      <c r="C171" t="s" s="1">
        <v>138</v>
      </c>
      <c r="D171" t="s" s="1">
        <v>138</v>
      </c>
      <c r="E171" t="n" s="16">
        <v>45839.0</v>
      </c>
    </row>
    <row r="172" ht="12.0" customHeight="true">
      <c r="A172" t="s" s="1">
        <v>139</v>
      </c>
      <c r="B172" t="n" s="17">
        <v>2500.0</v>
      </c>
      <c r="C172" t="s" s="1">
        <v>138</v>
      </c>
      <c r="D172" t="s" s="1">
        <v>138</v>
      </c>
      <c r="E172" t="n" s="16">
        <v>45931.0</v>
      </c>
    </row>
    <row r="173" ht="12.0" customHeight="true">
      <c r="A173" t="s" s="1">
        <v>139</v>
      </c>
      <c r="B173" t="n" s="17">
        <v>2500.0</v>
      </c>
      <c r="C173" t="s" s="1">
        <v>138</v>
      </c>
      <c r="D173" t="s" s="1">
        <v>138</v>
      </c>
      <c r="E173" t="n" s="16">
        <v>46023.0</v>
      </c>
    </row>
    <row r="174" ht="12.0" customHeight="true">
      <c r="A174" t="s" s="1">
        <v>139</v>
      </c>
      <c r="B174" t="n" s="17">
        <v>2500.0</v>
      </c>
      <c r="C174" t="s" s="1">
        <v>138</v>
      </c>
      <c r="D174" t="s" s="1">
        <v>138</v>
      </c>
      <c r="E174" t="n" s="16">
        <v>46113.0</v>
      </c>
    </row>
    <row r="175" ht="12.0" customHeight="true">
      <c r="A175" t="s" s="1">
        <v>139</v>
      </c>
      <c r="B175" t="n" s="17">
        <v>2500.0</v>
      </c>
      <c r="C175" t="s" s="1">
        <v>138</v>
      </c>
      <c r="D175" t="s" s="1">
        <v>138</v>
      </c>
      <c r="E175" t="n" s="16">
        <v>46204.0</v>
      </c>
    </row>
    <row r="176" ht="12.0" customHeight="true">
      <c r="A176" t="s" s="1">
        <v>139</v>
      </c>
      <c r="B176" t="n" s="17">
        <v>2500.0</v>
      </c>
      <c r="C176" t="s" s="1">
        <v>138</v>
      </c>
      <c r="D176" t="s" s="1">
        <v>138</v>
      </c>
      <c r="E176" t="n" s="16">
        <v>46296.0</v>
      </c>
    </row>
    <row r="177" ht="12.0" customHeight="true">
      <c r="A177" t="s" s="1">
        <v>139</v>
      </c>
      <c r="B177" t="n" s="17">
        <v>2500.0</v>
      </c>
      <c r="C177" t="s" s="1">
        <v>138</v>
      </c>
      <c r="D177" t="s" s="1">
        <v>138</v>
      </c>
      <c r="E177" t="n" s="16">
        <v>46388.0</v>
      </c>
    </row>
    <row r="178" ht="12.0" customHeight="true">
      <c r="A178" t="s" s="1">
        <v>139</v>
      </c>
      <c r="B178" t="n" s="17">
        <v>2500.0</v>
      </c>
      <c r="C178" t="s" s="1">
        <v>138</v>
      </c>
      <c r="D178" t="s" s="1">
        <v>138</v>
      </c>
      <c r="E178" t="n" s="16">
        <v>46478.0</v>
      </c>
    </row>
    <row r="179" ht="12.0" customHeight="true">
      <c r="A179" t="s" s="1">
        <v>139</v>
      </c>
      <c r="B179" t="n" s="17">
        <v>2500.0</v>
      </c>
      <c r="C179" t="s" s="1">
        <v>138</v>
      </c>
      <c r="D179" t="s" s="1">
        <v>138</v>
      </c>
      <c r="E179" t="n" s="16">
        <v>46569.0</v>
      </c>
    </row>
    <row r="180" ht="12.0" customHeight="true">
      <c r="A180" t="s" s="1">
        <v>139</v>
      </c>
      <c r="B180" t="n" s="17">
        <v>2500.0</v>
      </c>
      <c r="C180" t="s" s="1">
        <v>138</v>
      </c>
      <c r="D180" t="s" s="1">
        <v>138</v>
      </c>
      <c r="E180" t="n" s="16">
        <v>46661.0</v>
      </c>
    </row>
    <row r="181" ht="12.0" customHeight="true">
      <c r="A181" t="s" s="1">
        <v>139</v>
      </c>
      <c r="B181" t="n" s="17">
        <v>2500.0</v>
      </c>
      <c r="C181" t="s" s="1">
        <v>138</v>
      </c>
      <c r="D181" t="s" s="1">
        <v>138</v>
      </c>
      <c r="E181" t="n" s="16">
        <v>46753.0</v>
      </c>
    </row>
    <row r="182" ht="12.0" customHeight="true">
      <c r="A182" t="s" s="1">
        <v>139</v>
      </c>
      <c r="B182" t="n" s="17">
        <v>2500.0</v>
      </c>
      <c r="C182" t="s" s="1">
        <v>138</v>
      </c>
      <c r="D182" t="s" s="1">
        <v>138</v>
      </c>
      <c r="E182" t="n" s="16">
        <v>46844.0</v>
      </c>
    </row>
    <row r="183" ht="12.0" customHeight="true">
      <c r="A183" t="s" s="1">
        <v>139</v>
      </c>
      <c r="B183" t="n" s="17">
        <v>2500.0</v>
      </c>
      <c r="C183" t="s" s="1">
        <v>138</v>
      </c>
      <c r="D183" t="s" s="1">
        <v>138</v>
      </c>
      <c r="E183" t="n" s="16">
        <v>46935.0</v>
      </c>
    </row>
    <row r="184">
      <c r="A184" t="s" s="1">
        <v>8</v>
      </c>
      <c r="B184" t="n" s="17">
        <v>100.0</v>
      </c>
      <c r="C184" t="s" s="1">
        <v>142</v>
      </c>
      <c r="D184" t="s" s="1">
        <v>142</v>
      </c>
      <c r="E184" t="n" s="16">
        <v>45839.0</v>
      </c>
    </row>
    <row r="185" ht="12.0" customHeight="true">
      <c r="A185" t="s" s="1">
        <v>8</v>
      </c>
      <c r="B185" t="n" s="17">
        <v>100.0</v>
      </c>
      <c r="C185" t="s" s="1">
        <v>142</v>
      </c>
      <c r="D185" t="s" s="1">
        <v>142</v>
      </c>
      <c r="E185" t="n" s="16">
        <v>45870.0</v>
      </c>
    </row>
    <row r="186" ht="12.0" customHeight="true">
      <c r="A186" t="s" s="1">
        <v>8</v>
      </c>
      <c r="B186" t="n" s="17">
        <v>100.0</v>
      </c>
      <c r="C186" t="s" s="1">
        <v>142</v>
      </c>
      <c r="D186" t="s" s="1">
        <v>142</v>
      </c>
      <c r="E186" t="n" s="16">
        <v>45901.0</v>
      </c>
    </row>
    <row r="187" ht="12.0" customHeight="true">
      <c r="A187" t="s" s="1">
        <v>8</v>
      </c>
      <c r="B187" t="n" s="17">
        <v>100.0</v>
      </c>
      <c r="C187" t="s" s="1">
        <v>142</v>
      </c>
      <c r="D187" t="s" s="1">
        <v>142</v>
      </c>
      <c r="E187" t="n" s="16">
        <v>45931.0</v>
      </c>
    </row>
    <row r="188" ht="12.0" customHeight="true">
      <c r="A188" t="s" s="1">
        <v>8</v>
      </c>
      <c r="B188" t="n" s="17">
        <v>100.0</v>
      </c>
      <c r="C188" t="s" s="1">
        <v>142</v>
      </c>
      <c r="D188" t="s" s="1">
        <v>142</v>
      </c>
      <c r="E188" t="n" s="16">
        <v>45962.0</v>
      </c>
    </row>
    <row r="189" ht="12.0" customHeight="true">
      <c r="A189" t="s" s="1">
        <v>8</v>
      </c>
      <c r="B189" t="n" s="17">
        <v>100.0</v>
      </c>
      <c r="C189" t="s" s="1">
        <v>142</v>
      </c>
      <c r="D189" t="s" s="1">
        <v>142</v>
      </c>
      <c r="E189" t="n" s="16">
        <v>45992.0</v>
      </c>
    </row>
    <row r="190" ht="12.0" customHeight="true">
      <c r="A190" t="s" s="1">
        <v>8</v>
      </c>
      <c r="B190" t="n" s="17">
        <v>100.0</v>
      </c>
      <c r="C190" t="s" s="1">
        <v>142</v>
      </c>
      <c r="D190" t="s" s="1">
        <v>142</v>
      </c>
      <c r="E190" t="n" s="16">
        <v>46023.0</v>
      </c>
    </row>
    <row r="191" ht="12.0" customHeight="true">
      <c r="A191" t="s" s="1">
        <v>8</v>
      </c>
      <c r="B191" t="n" s="17">
        <v>100.0</v>
      </c>
      <c r="C191" t="s" s="1">
        <v>142</v>
      </c>
      <c r="D191" t="s" s="1">
        <v>142</v>
      </c>
      <c r="E191" t="n" s="16">
        <v>46054.0</v>
      </c>
    </row>
    <row r="192" ht="12.0" customHeight="true">
      <c r="A192" t="s" s="1">
        <v>8</v>
      </c>
      <c r="B192" t="n" s="17">
        <v>100.0</v>
      </c>
      <c r="C192" t="s" s="1">
        <v>142</v>
      </c>
      <c r="D192" t="s" s="1">
        <v>142</v>
      </c>
      <c r="E192" t="n" s="16">
        <v>46082.0</v>
      </c>
    </row>
    <row r="193" ht="12.0" customHeight="true">
      <c r="A193" t="s" s="1">
        <v>8</v>
      </c>
      <c r="B193" t="n" s="17">
        <v>100.0</v>
      </c>
      <c r="C193" t="s" s="1">
        <v>142</v>
      </c>
      <c r="D193" t="s" s="1">
        <v>142</v>
      </c>
      <c r="E193" t="n" s="16">
        <v>46113.0</v>
      </c>
    </row>
    <row r="194" ht="12.0" customHeight="true">
      <c r="A194" t="s" s="1">
        <v>8</v>
      </c>
      <c r="B194" t="n" s="17">
        <v>100.0</v>
      </c>
      <c r="C194" t="s" s="1">
        <v>142</v>
      </c>
      <c r="D194" t="s" s="1">
        <v>142</v>
      </c>
      <c r="E194" t="n" s="16">
        <v>46143.0</v>
      </c>
    </row>
    <row r="195" ht="12.0" customHeight="true">
      <c r="A195" t="s" s="1">
        <v>8</v>
      </c>
      <c r="B195" t="n" s="17">
        <v>100.0</v>
      </c>
      <c r="C195" t="s" s="1">
        <v>142</v>
      </c>
      <c r="D195" t="s" s="1">
        <v>142</v>
      </c>
      <c r="E195" t="n" s="16">
        <v>46174.0</v>
      </c>
    </row>
    <row r="196" ht="12.0" customHeight="true">
      <c r="A196" t="s" s="1">
        <v>8</v>
      </c>
      <c r="B196" t="n" s="17">
        <v>100.0</v>
      </c>
      <c r="C196" t="s" s="1">
        <v>142</v>
      </c>
      <c r="D196" t="s" s="1">
        <v>142</v>
      </c>
      <c r="E196" t="n" s="16">
        <v>46204.0</v>
      </c>
    </row>
    <row r="197">
      <c r="A197" t="s" s="1">
        <v>8</v>
      </c>
      <c r="B197" t="n" s="17">
        <v>575.0</v>
      </c>
      <c r="C197" t="s" s="1">
        <v>144</v>
      </c>
      <c r="D197" t="s" s="1">
        <v>144</v>
      </c>
      <c r="E197" t="n" s="16">
        <v>45839.0</v>
      </c>
    </row>
    <row r="198" ht="12.0" customHeight="true">
      <c r="A198" t="s" s="1">
        <v>8</v>
      </c>
      <c r="B198" t="n" s="17">
        <v>575.0</v>
      </c>
      <c r="C198" t="s" s="1">
        <v>144</v>
      </c>
      <c r="D198" t="s" s="1">
        <v>144</v>
      </c>
      <c r="E198" t="n" s="16">
        <v>45870.0</v>
      </c>
    </row>
    <row r="199" ht="12.0" customHeight="true">
      <c r="A199" t="s" s="1">
        <v>8</v>
      </c>
      <c r="B199" t="n" s="17">
        <v>575.0</v>
      </c>
      <c r="C199" t="s" s="1">
        <v>144</v>
      </c>
      <c r="D199" t="s" s="1">
        <v>144</v>
      </c>
      <c r="E199" t="n" s="16">
        <v>45901.0</v>
      </c>
    </row>
    <row r="200" ht="12.0" customHeight="true">
      <c r="A200" t="s" s="1">
        <v>8</v>
      </c>
      <c r="B200" t="n" s="17">
        <v>575.0</v>
      </c>
      <c r="C200" t="s" s="1">
        <v>144</v>
      </c>
      <c r="D200" t="s" s="1">
        <v>144</v>
      </c>
      <c r="E200" t="n" s="16">
        <v>45931.0</v>
      </c>
    </row>
    <row r="201" ht="12.0" customHeight="true">
      <c r="A201" t="s" s="1">
        <v>8</v>
      </c>
      <c r="B201" t="n" s="17">
        <v>575.0</v>
      </c>
      <c r="C201" t="s" s="1">
        <v>144</v>
      </c>
      <c r="D201" t="s" s="1">
        <v>144</v>
      </c>
      <c r="E201" t="n" s="16">
        <v>45962.0</v>
      </c>
    </row>
    <row r="202" ht="12.0" customHeight="true">
      <c r="A202" t="s" s="1">
        <v>8</v>
      </c>
      <c r="B202" t="n" s="17">
        <v>575.0</v>
      </c>
      <c r="C202" t="s" s="1">
        <v>144</v>
      </c>
      <c r="D202" t="s" s="1">
        <v>144</v>
      </c>
      <c r="E202" t="n" s="16">
        <v>45992.0</v>
      </c>
    </row>
    <row r="203" ht="12.0" customHeight="true">
      <c r="A203" t="s" s="1">
        <v>8</v>
      </c>
      <c r="B203" t="n" s="17">
        <v>575.0</v>
      </c>
      <c r="C203" t="s" s="1">
        <v>144</v>
      </c>
      <c r="D203" t="s" s="1">
        <v>144</v>
      </c>
      <c r="E203" t="n" s="16">
        <v>46023.0</v>
      </c>
    </row>
    <row r="204" ht="12.0" customHeight="true">
      <c r="A204" t="s" s="1">
        <v>8</v>
      </c>
      <c r="B204" t="n" s="17">
        <v>575.0</v>
      </c>
      <c r="C204" t="s" s="1">
        <v>144</v>
      </c>
      <c r="D204" t="s" s="1">
        <v>144</v>
      </c>
      <c r="E204" t="n" s="16">
        <v>46054.0</v>
      </c>
    </row>
    <row r="205" ht="12.0" customHeight="true">
      <c r="A205" t="s" s="1">
        <v>8</v>
      </c>
      <c r="B205" t="n" s="17">
        <v>575.0</v>
      </c>
      <c r="C205" t="s" s="1">
        <v>144</v>
      </c>
      <c r="D205" t="s" s="1">
        <v>144</v>
      </c>
      <c r="E205" t="n" s="16">
        <v>46082.0</v>
      </c>
    </row>
    <row r="206" ht="12.0" customHeight="true">
      <c r="A206" t="s" s="1">
        <v>8</v>
      </c>
      <c r="B206" t="n" s="17">
        <v>575.0</v>
      </c>
      <c r="C206" t="s" s="1">
        <v>144</v>
      </c>
      <c r="D206" t="s" s="1">
        <v>144</v>
      </c>
      <c r="E206" t="n" s="16">
        <v>46113.0</v>
      </c>
    </row>
    <row r="207" ht="12.0" customHeight="true">
      <c r="A207" t="s" s="1">
        <v>8</v>
      </c>
      <c r="B207" t="n" s="17">
        <v>575.0</v>
      </c>
      <c r="C207" t="s" s="1">
        <v>144</v>
      </c>
      <c r="D207" t="s" s="1">
        <v>144</v>
      </c>
      <c r="E207" t="n" s="16">
        <v>46143.0</v>
      </c>
    </row>
    <row r="208" ht="12.0" customHeight="true">
      <c r="A208" t="s" s="1">
        <v>8</v>
      </c>
      <c r="B208" t="n" s="17">
        <v>575.0</v>
      </c>
      <c r="C208" t="s" s="1">
        <v>144</v>
      </c>
      <c r="D208" t="s" s="1">
        <v>144</v>
      </c>
      <c r="E208" t="n" s="16">
        <v>46174.0</v>
      </c>
    </row>
    <row r="209" ht="12.0" customHeight="true">
      <c r="A209" t="s" s="1">
        <v>8</v>
      </c>
      <c r="B209" t="n" s="17">
        <v>575.0</v>
      </c>
      <c r="C209" t="s" s="1">
        <v>144</v>
      </c>
      <c r="D209" t="s" s="1">
        <v>144</v>
      </c>
      <c r="E209" t="n" s="16">
        <v>46204.0</v>
      </c>
    </row>
    <row r="210">
      <c r="A210" t="s" s="1">
        <v>8</v>
      </c>
      <c r="B210" t="n" s="17">
        <v>279.0</v>
      </c>
      <c r="C210" t="s" s="1">
        <v>146</v>
      </c>
      <c r="D210" t="s" s="1">
        <v>146</v>
      </c>
      <c r="E210" t="n" s="16">
        <v>45839.0</v>
      </c>
    </row>
    <row r="211" ht="12.0" customHeight="true">
      <c r="A211" t="s" s="1">
        <v>8</v>
      </c>
      <c r="B211" t="n" s="17">
        <v>279.0</v>
      </c>
      <c r="C211" t="s" s="1">
        <v>146</v>
      </c>
      <c r="D211" t="s" s="1">
        <v>146</v>
      </c>
      <c r="E211" t="n" s="16">
        <v>45870.0</v>
      </c>
    </row>
    <row r="212" ht="12.0" customHeight="true">
      <c r="A212" t="s" s="1">
        <v>8</v>
      </c>
      <c r="B212" t="n" s="17">
        <v>279.0</v>
      </c>
      <c r="C212" t="s" s="1">
        <v>146</v>
      </c>
      <c r="D212" t="s" s="1">
        <v>146</v>
      </c>
      <c r="E212" t="n" s="16">
        <v>45901.0</v>
      </c>
    </row>
    <row r="213" ht="12.0" customHeight="true">
      <c r="A213" t="s" s="1">
        <v>8</v>
      </c>
      <c r="B213" t="n" s="17">
        <v>279.0</v>
      </c>
      <c r="C213" t="s" s="1">
        <v>146</v>
      </c>
      <c r="D213" t="s" s="1">
        <v>146</v>
      </c>
      <c r="E213" t="n" s="16">
        <v>45931.0</v>
      </c>
    </row>
    <row r="214" ht="12.0" customHeight="true">
      <c r="A214" t="s" s="1">
        <v>8</v>
      </c>
      <c r="B214" t="n" s="17">
        <v>279.0</v>
      </c>
      <c r="C214" t="s" s="1">
        <v>146</v>
      </c>
      <c r="D214" t="s" s="1">
        <v>146</v>
      </c>
      <c r="E214" t="n" s="16">
        <v>45962.0</v>
      </c>
    </row>
    <row r="215" ht="12.0" customHeight="true">
      <c r="A215" t="s" s="1">
        <v>8</v>
      </c>
      <c r="B215" t="n" s="17">
        <v>279.0</v>
      </c>
      <c r="C215" t="s" s="1">
        <v>146</v>
      </c>
      <c r="D215" t="s" s="1">
        <v>146</v>
      </c>
      <c r="E215" t="n" s="16">
        <v>45992.0</v>
      </c>
    </row>
    <row r="216" ht="12.0" customHeight="true">
      <c r="A216" t="s" s="1">
        <v>8</v>
      </c>
      <c r="B216" t="n" s="17">
        <v>279.0</v>
      </c>
      <c r="C216" t="s" s="1">
        <v>146</v>
      </c>
      <c r="D216" t="s" s="1">
        <v>146</v>
      </c>
      <c r="E216" t="n" s="16">
        <v>46023.0</v>
      </c>
    </row>
    <row r="217" ht="12.0" customHeight="true">
      <c r="A217" t="s" s="1">
        <v>8</v>
      </c>
      <c r="B217" t="n" s="17">
        <v>279.0</v>
      </c>
      <c r="C217" t="s" s="1">
        <v>146</v>
      </c>
      <c r="D217" t="s" s="1">
        <v>146</v>
      </c>
      <c r="E217" t="n" s="16">
        <v>46054.0</v>
      </c>
    </row>
    <row r="218" ht="12.0" customHeight="true">
      <c r="A218" t="s" s="1">
        <v>8</v>
      </c>
      <c r="B218" t="n" s="17">
        <v>279.0</v>
      </c>
      <c r="C218" t="s" s="1">
        <v>146</v>
      </c>
      <c r="D218" t="s" s="1">
        <v>146</v>
      </c>
      <c r="E218" t="n" s="16">
        <v>46082.0</v>
      </c>
    </row>
    <row r="219" ht="12.0" customHeight="true">
      <c r="A219" t="s" s="1">
        <v>8</v>
      </c>
      <c r="B219" t="n" s="17">
        <v>279.0</v>
      </c>
      <c r="C219" t="s" s="1">
        <v>146</v>
      </c>
      <c r="D219" t="s" s="1">
        <v>146</v>
      </c>
      <c r="E219" t="n" s="16">
        <v>46113.0</v>
      </c>
    </row>
    <row r="220" ht="12.0" customHeight="true">
      <c r="A220" t="s" s="1">
        <v>8</v>
      </c>
      <c r="B220" t="n" s="17">
        <v>279.0</v>
      </c>
      <c r="C220" t="s" s="1">
        <v>146</v>
      </c>
      <c r="D220" t="s" s="1">
        <v>146</v>
      </c>
      <c r="E220" t="n" s="16">
        <v>46143.0</v>
      </c>
    </row>
    <row r="221" ht="12.0" customHeight="true">
      <c r="A221" t="s" s="1">
        <v>8</v>
      </c>
      <c r="B221" t="n" s="17">
        <v>279.0</v>
      </c>
      <c r="C221" t="s" s="1">
        <v>146</v>
      </c>
      <c r="D221" t="s" s="1">
        <v>146</v>
      </c>
      <c r="E221" t="n" s="16">
        <v>46174.0</v>
      </c>
    </row>
    <row r="222" ht="12.0" customHeight="true">
      <c r="A222" t="s" s="1">
        <v>8</v>
      </c>
      <c r="B222" t="n" s="17">
        <v>279.0</v>
      </c>
      <c r="C222" t="s" s="1">
        <v>146</v>
      </c>
      <c r="D222" t="s" s="1">
        <v>146</v>
      </c>
      <c r="E222" t="n" s="16">
        <v>46204.0</v>
      </c>
    </row>
    <row r="223">
      <c r="A223" t="s" s="1">
        <v>8</v>
      </c>
      <c r="B223" t="n" s="17">
        <v>100.0</v>
      </c>
      <c r="C223" t="s" s="1">
        <v>148</v>
      </c>
      <c r="D223" t="s" s="1">
        <v>148</v>
      </c>
      <c r="E223" t="n" s="16">
        <v>45839.0</v>
      </c>
    </row>
    <row r="224" ht="12.0" customHeight="true">
      <c r="A224" t="s" s="1">
        <v>8</v>
      </c>
      <c r="B224" t="n" s="17">
        <v>100.0</v>
      </c>
      <c r="C224" t="s" s="1">
        <v>148</v>
      </c>
      <c r="D224" t="s" s="1">
        <v>148</v>
      </c>
      <c r="E224" t="n" s="16">
        <v>45870.0</v>
      </c>
    </row>
    <row r="225" ht="12.0" customHeight="true">
      <c r="A225" t="s" s="1">
        <v>8</v>
      </c>
      <c r="B225" t="n" s="17">
        <v>100.0</v>
      </c>
      <c r="C225" t="s" s="1">
        <v>148</v>
      </c>
      <c r="D225" t="s" s="1">
        <v>148</v>
      </c>
      <c r="E225" t="n" s="16">
        <v>45901.0</v>
      </c>
    </row>
    <row r="226" ht="12.0" customHeight="true">
      <c r="A226" t="s" s="1">
        <v>8</v>
      </c>
      <c r="B226" t="n" s="17">
        <v>100.0</v>
      </c>
      <c r="C226" t="s" s="1">
        <v>148</v>
      </c>
      <c r="D226" t="s" s="1">
        <v>148</v>
      </c>
      <c r="E226" t="n" s="16">
        <v>45931.0</v>
      </c>
    </row>
    <row r="227" ht="12.0" customHeight="true">
      <c r="A227" t="s" s="1">
        <v>8</v>
      </c>
      <c r="B227" t="n" s="17">
        <v>100.0</v>
      </c>
      <c r="C227" t="s" s="1">
        <v>148</v>
      </c>
      <c r="D227" t="s" s="1">
        <v>148</v>
      </c>
      <c r="E227" t="n" s="16">
        <v>45962.0</v>
      </c>
    </row>
    <row r="228" ht="12.0" customHeight="true">
      <c r="A228" t="s" s="1">
        <v>8</v>
      </c>
      <c r="B228" t="n" s="17">
        <v>100.0</v>
      </c>
      <c r="C228" t="s" s="1">
        <v>148</v>
      </c>
      <c r="D228" t="s" s="1">
        <v>148</v>
      </c>
      <c r="E228" t="n" s="16">
        <v>45992.0</v>
      </c>
    </row>
    <row r="229" ht="12.0" customHeight="true">
      <c r="A229" t="s" s="1">
        <v>8</v>
      </c>
      <c r="B229" t="n" s="17">
        <v>100.0</v>
      </c>
      <c r="C229" t="s" s="1">
        <v>148</v>
      </c>
      <c r="D229" t="s" s="1">
        <v>148</v>
      </c>
      <c r="E229" t="n" s="16">
        <v>46023.0</v>
      </c>
    </row>
    <row r="230" ht="12.0" customHeight="true">
      <c r="A230" t="s" s="1">
        <v>8</v>
      </c>
      <c r="B230" t="n" s="17">
        <v>100.0</v>
      </c>
      <c r="C230" t="s" s="1">
        <v>148</v>
      </c>
      <c r="D230" t="s" s="1">
        <v>148</v>
      </c>
      <c r="E230" t="n" s="16">
        <v>46054.0</v>
      </c>
    </row>
    <row r="231" ht="12.0" customHeight="true">
      <c r="A231" t="s" s="1">
        <v>8</v>
      </c>
      <c r="B231" t="n" s="17">
        <v>100.0</v>
      </c>
      <c r="C231" t="s" s="1">
        <v>148</v>
      </c>
      <c r="D231" t="s" s="1">
        <v>148</v>
      </c>
      <c r="E231" t="n" s="16">
        <v>46082.0</v>
      </c>
    </row>
    <row r="232" ht="12.0" customHeight="true">
      <c r="A232" t="s" s="1">
        <v>8</v>
      </c>
      <c r="B232" t="n" s="17">
        <v>100.0</v>
      </c>
      <c r="C232" t="s" s="1">
        <v>148</v>
      </c>
      <c r="D232" t="s" s="1">
        <v>148</v>
      </c>
      <c r="E232" t="n" s="16">
        <v>46113.0</v>
      </c>
    </row>
    <row r="233" ht="12.0" customHeight="true">
      <c r="A233" t="s" s="1">
        <v>8</v>
      </c>
      <c r="B233" t="n" s="17">
        <v>100.0</v>
      </c>
      <c r="C233" t="s" s="1">
        <v>148</v>
      </c>
      <c r="D233" t="s" s="1">
        <v>148</v>
      </c>
      <c r="E233" t="n" s="16">
        <v>46143.0</v>
      </c>
    </row>
    <row r="234" ht="12.0" customHeight="true">
      <c r="A234" t="s" s="1">
        <v>8</v>
      </c>
      <c r="B234" t="n" s="17">
        <v>100.0</v>
      </c>
      <c r="C234" t="s" s="1">
        <v>148</v>
      </c>
      <c r="D234" t="s" s="1">
        <v>148</v>
      </c>
      <c r="E234" t="n" s="16">
        <v>46174.0</v>
      </c>
    </row>
    <row r="235" ht="12.0" customHeight="true">
      <c r="A235" t="s" s="1">
        <v>8</v>
      </c>
      <c r="B235" t="n" s="17">
        <v>100.0</v>
      </c>
      <c r="C235" t="s" s="1">
        <v>148</v>
      </c>
      <c r="D235" t="s" s="1">
        <v>148</v>
      </c>
      <c r="E235" t="n" s="16">
        <v>46204.0</v>
      </c>
    </row>
    <row r="236">
      <c r="A236" t="s" s="1">
        <v>8</v>
      </c>
      <c r="B236" t="n" s="17">
        <v>100.0</v>
      </c>
      <c r="C236" t="s" s="1">
        <v>150</v>
      </c>
      <c r="D236" t="s" s="1">
        <v>150</v>
      </c>
      <c r="E236" t="n" s="16">
        <v>45839.0</v>
      </c>
    </row>
    <row r="237" ht="12.0" customHeight="true">
      <c r="A237" t="s" s="1">
        <v>8</v>
      </c>
      <c r="B237" t="n" s="17">
        <v>100.0</v>
      </c>
      <c r="C237" t="s" s="1">
        <v>150</v>
      </c>
      <c r="D237" t="s" s="1">
        <v>150</v>
      </c>
      <c r="E237" t="n" s="16">
        <v>45870.0</v>
      </c>
    </row>
    <row r="238" ht="12.0" customHeight="true">
      <c r="A238" t="s" s="1">
        <v>8</v>
      </c>
      <c r="B238" t="n" s="17">
        <v>100.0</v>
      </c>
      <c r="C238" t="s" s="1">
        <v>150</v>
      </c>
      <c r="D238" t="s" s="1">
        <v>150</v>
      </c>
      <c r="E238" t="n" s="16">
        <v>45901.0</v>
      </c>
    </row>
    <row r="239" ht="12.0" customHeight="true">
      <c r="A239" t="s" s="1">
        <v>8</v>
      </c>
      <c r="B239" t="n" s="17">
        <v>100.0</v>
      </c>
      <c r="C239" t="s" s="1">
        <v>150</v>
      </c>
      <c r="D239" t="s" s="1">
        <v>150</v>
      </c>
      <c r="E239" t="n" s="16">
        <v>45931.0</v>
      </c>
    </row>
    <row r="240" ht="12.0" customHeight="true">
      <c r="A240" t="s" s="1">
        <v>8</v>
      </c>
      <c r="B240" t="n" s="17">
        <v>100.0</v>
      </c>
      <c r="C240" t="s" s="1">
        <v>150</v>
      </c>
      <c r="D240" t="s" s="1">
        <v>150</v>
      </c>
      <c r="E240" t="n" s="16">
        <v>45962.0</v>
      </c>
    </row>
    <row r="241" ht="12.0" customHeight="true">
      <c r="A241" t="s" s="1">
        <v>8</v>
      </c>
      <c r="B241" t="n" s="17">
        <v>100.0</v>
      </c>
      <c r="C241" t="s" s="1">
        <v>150</v>
      </c>
      <c r="D241" t="s" s="1">
        <v>150</v>
      </c>
      <c r="E241" t="n" s="16">
        <v>45992.0</v>
      </c>
    </row>
    <row r="242" ht="12.0" customHeight="true">
      <c r="A242" t="s" s="1">
        <v>8</v>
      </c>
      <c r="B242" t="n" s="17">
        <v>100.0</v>
      </c>
      <c r="C242" t="s" s="1">
        <v>150</v>
      </c>
      <c r="D242" t="s" s="1">
        <v>150</v>
      </c>
      <c r="E242" t="n" s="16">
        <v>46023.0</v>
      </c>
    </row>
    <row r="243" ht="12.0" customHeight="true">
      <c r="A243" t="s" s="1">
        <v>8</v>
      </c>
      <c r="B243" t="n" s="17">
        <v>100.0</v>
      </c>
      <c r="C243" t="s" s="1">
        <v>150</v>
      </c>
      <c r="D243" t="s" s="1">
        <v>150</v>
      </c>
      <c r="E243" t="n" s="16">
        <v>46054.0</v>
      </c>
    </row>
    <row r="244" ht="12.0" customHeight="true">
      <c r="A244" t="s" s="1">
        <v>8</v>
      </c>
      <c r="B244" t="n" s="17">
        <v>100.0</v>
      </c>
      <c r="C244" t="s" s="1">
        <v>150</v>
      </c>
      <c r="D244" t="s" s="1">
        <v>150</v>
      </c>
      <c r="E244" t="n" s="16">
        <v>46082.0</v>
      </c>
    </row>
    <row r="245" ht="12.0" customHeight="true">
      <c r="A245" t="s" s="1">
        <v>8</v>
      </c>
      <c r="B245" t="n" s="17">
        <v>100.0</v>
      </c>
      <c r="C245" t="s" s="1">
        <v>150</v>
      </c>
      <c r="D245" t="s" s="1">
        <v>150</v>
      </c>
      <c r="E245" t="n" s="16">
        <v>46113.0</v>
      </c>
    </row>
    <row r="246" ht="12.0" customHeight="true">
      <c r="A246" t="s" s="1">
        <v>8</v>
      </c>
      <c r="B246" t="n" s="17">
        <v>100.0</v>
      </c>
      <c r="C246" t="s" s="1">
        <v>150</v>
      </c>
      <c r="D246" t="s" s="1">
        <v>150</v>
      </c>
      <c r="E246" t="n" s="16">
        <v>46143.0</v>
      </c>
    </row>
    <row r="247" ht="12.0" customHeight="true">
      <c r="A247" t="s" s="1">
        <v>8</v>
      </c>
      <c r="B247" t="n" s="17">
        <v>100.0</v>
      </c>
      <c r="C247" t="s" s="1">
        <v>150</v>
      </c>
      <c r="D247" t="s" s="1">
        <v>150</v>
      </c>
      <c r="E247" t="n" s="16">
        <v>46174.0</v>
      </c>
    </row>
    <row r="248" ht="12.0" customHeight="true">
      <c r="A248" t="s" s="1">
        <v>8</v>
      </c>
      <c r="B248" t="n" s="17">
        <v>100.0</v>
      </c>
      <c r="C248" t="s" s="1">
        <v>150</v>
      </c>
      <c r="D248" t="s" s="1">
        <v>150</v>
      </c>
      <c r="E248" t="n" s="16">
        <v>46204.0</v>
      </c>
    </row>
    <row r="249">
      <c r="A249" t="s" s="1">
        <v>26</v>
      </c>
      <c r="B249" t="n" s="17">
        <v>888.0</v>
      </c>
      <c r="C249" t="s" s="1">
        <v>152</v>
      </c>
      <c r="D249" t="s" s="1">
        <v>152</v>
      </c>
      <c r="E249" t="n" s="16">
        <v>45839.0</v>
      </c>
    </row>
    <row r="250" ht="12.0" customHeight="true">
      <c r="A250" t="s" s="1">
        <v>26</v>
      </c>
      <c r="B250" t="n" s="17">
        <v>888.0</v>
      </c>
      <c r="C250" t="s" s="1">
        <v>152</v>
      </c>
      <c r="D250" t="s" s="1">
        <v>152</v>
      </c>
      <c r="E250" t="n" s="16">
        <v>45870.0</v>
      </c>
    </row>
    <row r="251" ht="12.0" customHeight="true">
      <c r="A251" t="s" s="1">
        <v>26</v>
      </c>
      <c r="B251" t="n" s="17">
        <v>888.0</v>
      </c>
      <c r="C251" t="s" s="1">
        <v>152</v>
      </c>
      <c r="D251" t="s" s="1">
        <v>152</v>
      </c>
      <c r="E251" t="n" s="16">
        <v>45901.0</v>
      </c>
    </row>
    <row r="252" ht="12.0" customHeight="true">
      <c r="A252" t="s" s="1">
        <v>26</v>
      </c>
      <c r="B252" t="n" s="17">
        <v>888.0</v>
      </c>
      <c r="C252" t="s" s="1">
        <v>152</v>
      </c>
      <c r="D252" t="s" s="1">
        <v>152</v>
      </c>
      <c r="E252" t="n" s="16">
        <v>45931.0</v>
      </c>
    </row>
    <row r="253" ht="12.0" customHeight="true">
      <c r="A253" t="s" s="1">
        <v>26</v>
      </c>
      <c r="B253" t="n" s="17">
        <v>888.0</v>
      </c>
      <c r="C253" t="s" s="1">
        <v>152</v>
      </c>
      <c r="D253" t="s" s="1">
        <v>152</v>
      </c>
      <c r="E253" t="n" s="16">
        <v>45962.0</v>
      </c>
    </row>
    <row r="254" ht="12.0" customHeight="true">
      <c r="A254" t="s" s="1">
        <v>26</v>
      </c>
      <c r="B254" t="n" s="17">
        <v>888.0</v>
      </c>
      <c r="C254" t="s" s="1">
        <v>152</v>
      </c>
      <c r="D254" t="s" s="1">
        <v>152</v>
      </c>
      <c r="E254" t="n" s="16">
        <v>45992.0</v>
      </c>
    </row>
    <row r="255" ht="12.0" customHeight="true">
      <c r="A255" t="s" s="1">
        <v>26</v>
      </c>
      <c r="B255" t="n" s="17">
        <v>888.0</v>
      </c>
      <c r="C255" t="s" s="1">
        <v>152</v>
      </c>
      <c r="D255" t="s" s="1">
        <v>152</v>
      </c>
      <c r="E255" t="n" s="16">
        <v>46023.0</v>
      </c>
    </row>
    <row r="256" ht="12.0" customHeight="true">
      <c r="A256" t="s" s="1">
        <v>26</v>
      </c>
      <c r="B256" t="n" s="17">
        <v>888.0</v>
      </c>
      <c r="C256" t="s" s="1">
        <v>152</v>
      </c>
      <c r="D256" t="s" s="1">
        <v>152</v>
      </c>
      <c r="E256" t="n" s="16">
        <v>46054.0</v>
      </c>
    </row>
    <row r="257" ht="12.0" customHeight="true">
      <c r="A257" t="s" s="1">
        <v>26</v>
      </c>
      <c r="B257" t="n" s="17">
        <v>888.0</v>
      </c>
      <c r="C257" t="s" s="1">
        <v>152</v>
      </c>
      <c r="D257" t="s" s="1">
        <v>152</v>
      </c>
      <c r="E257" t="n" s="16">
        <v>46082.0</v>
      </c>
    </row>
    <row r="258" ht="12.0" customHeight="true">
      <c r="A258" t="s" s="1">
        <v>26</v>
      </c>
      <c r="B258" t="n" s="17">
        <v>888.0</v>
      </c>
      <c r="C258" t="s" s="1">
        <v>152</v>
      </c>
      <c r="D258" t="s" s="1">
        <v>152</v>
      </c>
      <c r="E258" t="n" s="16">
        <v>46113.0</v>
      </c>
    </row>
    <row r="259" ht="12.0" customHeight="true">
      <c r="A259" t="s" s="1">
        <v>26</v>
      </c>
      <c r="B259" t="n" s="17">
        <v>888.0</v>
      </c>
      <c r="C259" t="s" s="1">
        <v>152</v>
      </c>
      <c r="D259" t="s" s="1">
        <v>152</v>
      </c>
      <c r="E259" t="n" s="16">
        <v>46143.0</v>
      </c>
    </row>
    <row r="260" ht="12.0" customHeight="true">
      <c r="A260" t="s" s="1">
        <v>26</v>
      </c>
      <c r="B260" t="n" s="17">
        <v>888.0</v>
      </c>
      <c r="C260" t="s" s="1">
        <v>152</v>
      </c>
      <c r="D260" t="s" s="1">
        <v>152</v>
      </c>
      <c r="E260" t="n" s="16">
        <v>46174.0</v>
      </c>
    </row>
    <row r="261" ht="12.0" customHeight="true">
      <c r="A261" t="s" s="1">
        <v>26</v>
      </c>
      <c r="B261" t="n" s="17">
        <v>888.0</v>
      </c>
      <c r="C261" t="s" s="1">
        <v>152</v>
      </c>
      <c r="D261" t="s" s="1">
        <v>152</v>
      </c>
      <c r="E261" t="n" s="16">
        <v>46204.0</v>
      </c>
    </row>
    <row r="262" ht="12.0" customHeight="true">
      <c r="A262" t="s" s="1">
        <v>21</v>
      </c>
      <c r="B262" t="n" s="17">
        <v>1700.4</v>
      </c>
      <c r="C262" t="s" s="1">
        <v>154</v>
      </c>
      <c r="D262" t="s" s="1">
        <v>21</v>
      </c>
      <c r="E262" t="n" s="16">
        <v>45835.0</v>
      </c>
    </row>
    <row r="263" ht="12.0" customHeight="true">
      <c r="A263" t="s" s="1">
        <v>21</v>
      </c>
      <c r="B263" t="n" s="17">
        <v>1700.4</v>
      </c>
      <c r="C263" t="s" s="1">
        <v>154</v>
      </c>
      <c r="D263" t="s" s="1">
        <v>21</v>
      </c>
      <c r="E263" t="n" s="16">
        <v>45849.0</v>
      </c>
    </row>
    <row r="264" ht="12.0" customHeight="true">
      <c r="A264" t="s" s="1">
        <v>21</v>
      </c>
      <c r="B264" t="n" s="17">
        <v>1700.4</v>
      </c>
      <c r="C264" t="s" s="1">
        <v>154</v>
      </c>
      <c r="D264" t="s" s="1">
        <v>21</v>
      </c>
      <c r="E264" t="n" s="16">
        <v>45863.0</v>
      </c>
    </row>
    <row r="265" ht="12.0" customHeight="true">
      <c r="A265" t="s" s="1">
        <v>21</v>
      </c>
      <c r="B265" t="n" s="17">
        <v>1700.4</v>
      </c>
      <c r="C265" t="s" s="1">
        <v>154</v>
      </c>
      <c r="D265" t="s" s="1">
        <v>21</v>
      </c>
      <c r="E265" t="n" s="16">
        <v>45877.0</v>
      </c>
    </row>
    <row r="266" ht="12.0" customHeight="true">
      <c r="A266" t="s" s="1">
        <v>21</v>
      </c>
      <c r="B266" t="n" s="17">
        <v>1700.4</v>
      </c>
      <c r="C266" t="s" s="1">
        <v>154</v>
      </c>
      <c r="D266" t="s" s="1">
        <v>21</v>
      </c>
      <c r="E266" t="n" s="16">
        <v>45891.0</v>
      </c>
    </row>
    <row r="267" ht="12.0" customHeight="true">
      <c r="A267" t="s" s="1">
        <v>21</v>
      </c>
      <c r="B267" t="n" s="17">
        <v>1700.4</v>
      </c>
      <c r="C267" t="s" s="1">
        <v>154</v>
      </c>
      <c r="D267" t="s" s="1">
        <v>21</v>
      </c>
      <c r="E267" t="n" s="16">
        <v>45905.0</v>
      </c>
    </row>
    <row r="268" ht="12.0" customHeight="true">
      <c r="A268" t="s" s="1">
        <v>21</v>
      </c>
      <c r="B268" t="n" s="17">
        <v>1700.4</v>
      </c>
      <c r="C268" t="s" s="1">
        <v>154</v>
      </c>
      <c r="D268" t="s" s="1">
        <v>21</v>
      </c>
      <c r="E268" t="n" s="16">
        <v>45919.0</v>
      </c>
    </row>
    <row r="269" ht="12.0" customHeight="true">
      <c r="A269" t="s" s="1">
        <v>21</v>
      </c>
      <c r="B269" t="n" s="17">
        <v>1700.4</v>
      </c>
      <c r="C269" t="s" s="1">
        <v>154</v>
      </c>
      <c r="D269" t="s" s="1">
        <v>21</v>
      </c>
      <c r="E269" t="n" s="16">
        <v>45933.0</v>
      </c>
    </row>
    <row r="270" ht="12.0" customHeight="true">
      <c r="A270" t="s" s="1">
        <v>21</v>
      </c>
      <c r="B270" t="n" s="17">
        <v>1700.4</v>
      </c>
      <c r="C270" t="s" s="1">
        <v>154</v>
      </c>
      <c r="D270" t="s" s="1">
        <v>21</v>
      </c>
      <c r="E270" t="n" s="16">
        <v>45947.0</v>
      </c>
    </row>
    <row r="271" ht="12.0" customHeight="true">
      <c r="A271" t="s" s="1">
        <v>21</v>
      </c>
      <c r="B271" t="n" s="17">
        <v>1700.4</v>
      </c>
      <c r="C271" t="s" s="1">
        <v>154</v>
      </c>
      <c r="D271" t="s" s="1">
        <v>21</v>
      </c>
      <c r="E271" t="n" s="16">
        <v>45961.0</v>
      </c>
    </row>
    <row r="272" ht="12.0" customHeight="true">
      <c r="A272" t="s" s="1">
        <v>21</v>
      </c>
      <c r="B272" t="n" s="17">
        <v>1700.4</v>
      </c>
      <c r="C272" t="s" s="1">
        <v>154</v>
      </c>
      <c r="D272" t="s" s="1">
        <v>21</v>
      </c>
      <c r="E272" t="n" s="16">
        <v>45975.0</v>
      </c>
    </row>
    <row r="273" ht="12.0" customHeight="true">
      <c r="A273" t="s" s="1">
        <v>21</v>
      </c>
      <c r="B273" t="n" s="17">
        <v>1700.4</v>
      </c>
      <c r="C273" t="s" s="1">
        <v>154</v>
      </c>
      <c r="D273" t="s" s="1">
        <v>21</v>
      </c>
      <c r="E273" t="n" s="16">
        <v>45989.0</v>
      </c>
    </row>
    <row r="274" ht="12.0" customHeight="true">
      <c r="A274" t="s" s="1">
        <v>21</v>
      </c>
      <c r="B274" t="n" s="17">
        <v>1700.4</v>
      </c>
      <c r="C274" t="s" s="1">
        <v>154</v>
      </c>
      <c r="D274" t="s" s="1">
        <v>21</v>
      </c>
      <c r="E274" t="n" s="16">
        <v>46003.0</v>
      </c>
    </row>
    <row r="275" ht="12.0" customHeight="true">
      <c r="A275" t="s" s="1">
        <v>21</v>
      </c>
      <c r="B275" t="n" s="17">
        <v>2829.64</v>
      </c>
      <c r="C275" t="s" s="1">
        <v>157</v>
      </c>
      <c r="D275" t="s" s="1">
        <v>21</v>
      </c>
      <c r="E275" t="n" s="16">
        <v>45835.0</v>
      </c>
    </row>
    <row r="276" ht="12.0" customHeight="true">
      <c r="A276" t="s" s="1">
        <v>21</v>
      </c>
      <c r="B276" t="n" s="17">
        <v>2829.64</v>
      </c>
      <c r="C276" t="s" s="1">
        <v>157</v>
      </c>
      <c r="D276" t="s" s="1">
        <v>21</v>
      </c>
      <c r="E276" t="n" s="16">
        <v>45849.0</v>
      </c>
    </row>
    <row r="277" ht="12.0" customHeight="true">
      <c r="A277" t="s" s="1">
        <v>21</v>
      </c>
      <c r="B277" t="n" s="17">
        <v>2829.64</v>
      </c>
      <c r="C277" t="s" s="1">
        <v>157</v>
      </c>
      <c r="D277" t="s" s="1">
        <v>21</v>
      </c>
      <c r="E277" t="n" s="16">
        <v>45863.0</v>
      </c>
    </row>
    <row r="278" ht="12.0" customHeight="true">
      <c r="A278" t="s" s="1">
        <v>21</v>
      </c>
      <c r="B278" t="n" s="17">
        <v>2829.64</v>
      </c>
      <c r="C278" t="s" s="1">
        <v>157</v>
      </c>
      <c r="D278" t="s" s="1">
        <v>21</v>
      </c>
      <c r="E278" t="n" s="16">
        <v>45877.0</v>
      </c>
    </row>
    <row r="279" ht="12.0" customHeight="true">
      <c r="A279" t="s" s="1">
        <v>21</v>
      </c>
      <c r="B279" t="n" s="17">
        <v>2829.64</v>
      </c>
      <c r="C279" t="s" s="1">
        <v>157</v>
      </c>
      <c r="D279" t="s" s="1">
        <v>21</v>
      </c>
      <c r="E279" t="n" s="16">
        <v>45891.0</v>
      </c>
    </row>
    <row r="280" ht="12.0" customHeight="true">
      <c r="A280" t="s" s="1">
        <v>21</v>
      </c>
      <c r="B280" t="n" s="17">
        <v>2829.64</v>
      </c>
      <c r="C280" t="s" s="1">
        <v>157</v>
      </c>
      <c r="D280" t="s" s="1">
        <v>21</v>
      </c>
      <c r="E280" t="n" s="16">
        <v>45905.0</v>
      </c>
    </row>
    <row r="281" ht="12.0" customHeight="true">
      <c r="A281" t="s" s="1">
        <v>21</v>
      </c>
      <c r="B281" t="n" s="17">
        <v>2829.64</v>
      </c>
      <c r="C281" t="s" s="1">
        <v>157</v>
      </c>
      <c r="D281" t="s" s="1">
        <v>21</v>
      </c>
      <c r="E281" t="n" s="16">
        <v>45919.0</v>
      </c>
    </row>
    <row r="282" ht="12.0" customHeight="true">
      <c r="A282" t="s" s="1">
        <v>21</v>
      </c>
      <c r="B282" t="n" s="17">
        <v>2829.64</v>
      </c>
      <c r="C282" t="s" s="1">
        <v>157</v>
      </c>
      <c r="D282" t="s" s="1">
        <v>21</v>
      </c>
      <c r="E282" t="n" s="16">
        <v>45933.0</v>
      </c>
    </row>
    <row r="283" ht="12.0" customHeight="true">
      <c r="A283" t="s" s="1">
        <v>21</v>
      </c>
      <c r="B283" t="n" s="17">
        <v>2829.64</v>
      </c>
      <c r="C283" t="s" s="1">
        <v>157</v>
      </c>
      <c r="D283" t="s" s="1">
        <v>21</v>
      </c>
      <c r="E283" t="n" s="16">
        <v>45947.0</v>
      </c>
    </row>
    <row r="284" ht="12.0" customHeight="true">
      <c r="A284" t="s" s="1">
        <v>21</v>
      </c>
      <c r="B284" t="n" s="17">
        <v>2829.64</v>
      </c>
      <c r="C284" t="s" s="1">
        <v>157</v>
      </c>
      <c r="D284" t="s" s="1">
        <v>21</v>
      </c>
      <c r="E284" t="n" s="16">
        <v>45961.0</v>
      </c>
    </row>
    <row r="285" ht="12.0" customHeight="true">
      <c r="A285" t="s" s="1">
        <v>21</v>
      </c>
      <c r="B285" t="n" s="17">
        <v>2829.64</v>
      </c>
      <c r="C285" t="s" s="1">
        <v>157</v>
      </c>
      <c r="D285" t="s" s="1">
        <v>21</v>
      </c>
      <c r="E285" t="n" s="16">
        <v>45975.0</v>
      </c>
    </row>
    <row r="286" ht="12.0" customHeight="true">
      <c r="A286" t="s" s="1">
        <v>21</v>
      </c>
      <c r="B286" t="n" s="17">
        <v>2829.64</v>
      </c>
      <c r="C286" t="s" s="1">
        <v>157</v>
      </c>
      <c r="D286" t="s" s="1">
        <v>21</v>
      </c>
      <c r="E286" t="n" s="16">
        <v>45989.0</v>
      </c>
    </row>
    <row r="287" ht="12.0" customHeight="true">
      <c r="A287" t="s" s="1">
        <v>21</v>
      </c>
      <c r="B287" t="n" s="17">
        <v>2829.64</v>
      </c>
      <c r="C287" t="s" s="1">
        <v>157</v>
      </c>
      <c r="D287" t="s" s="1">
        <v>21</v>
      </c>
      <c r="E287" t="n" s="16">
        <v>46003.0</v>
      </c>
    </row>
    <row r="288" ht="12.0" customHeight="true">
      <c r="A288" t="s" s="1">
        <v>21</v>
      </c>
      <c r="B288" t="n" s="17">
        <v>1700.4</v>
      </c>
      <c r="C288" t="s" s="1">
        <v>159</v>
      </c>
      <c r="D288" t="s" s="1">
        <v>21</v>
      </c>
      <c r="E288" t="n" s="16">
        <v>45835.0</v>
      </c>
    </row>
    <row r="289" ht="12.0" customHeight="true">
      <c r="A289" t="s" s="1">
        <v>21</v>
      </c>
      <c r="B289" t="n" s="17">
        <v>1700.4</v>
      </c>
      <c r="C289" t="s" s="1">
        <v>159</v>
      </c>
      <c r="D289" t="s" s="1">
        <v>21</v>
      </c>
      <c r="E289" t="n" s="16">
        <v>45849.0</v>
      </c>
    </row>
    <row r="290" ht="12.0" customHeight="true">
      <c r="A290" t="s" s="1">
        <v>21</v>
      </c>
      <c r="B290" t="n" s="17">
        <v>1700.4</v>
      </c>
      <c r="C290" t="s" s="1">
        <v>159</v>
      </c>
      <c r="D290" t="s" s="1">
        <v>21</v>
      </c>
      <c r="E290" t="n" s="16">
        <v>45863.0</v>
      </c>
    </row>
    <row r="291" ht="12.0" customHeight="true">
      <c r="A291" t="s" s="1">
        <v>21</v>
      </c>
      <c r="B291" t="n" s="17">
        <v>1700.4</v>
      </c>
      <c r="C291" t="s" s="1">
        <v>159</v>
      </c>
      <c r="D291" t="s" s="1">
        <v>21</v>
      </c>
      <c r="E291" t="n" s="16">
        <v>45877.0</v>
      </c>
    </row>
    <row r="292" ht="12.0" customHeight="true">
      <c r="A292" t="s" s="1">
        <v>21</v>
      </c>
      <c r="B292" t="n" s="17">
        <v>1700.4</v>
      </c>
      <c r="C292" t="s" s="1">
        <v>159</v>
      </c>
      <c r="D292" t="s" s="1">
        <v>21</v>
      </c>
      <c r="E292" t="n" s="16">
        <v>45891.0</v>
      </c>
    </row>
    <row r="293" ht="12.0" customHeight="true">
      <c r="A293" t="s" s="1">
        <v>21</v>
      </c>
      <c r="B293" t="n" s="17">
        <v>1700.4</v>
      </c>
      <c r="C293" t="s" s="1">
        <v>159</v>
      </c>
      <c r="D293" t="s" s="1">
        <v>21</v>
      </c>
      <c r="E293" t="n" s="16">
        <v>45905.0</v>
      </c>
    </row>
    <row r="294" ht="12.0" customHeight="true">
      <c r="A294" t="s" s="1">
        <v>21</v>
      </c>
      <c r="B294" t="n" s="17">
        <v>1700.4</v>
      </c>
      <c r="C294" t="s" s="1">
        <v>159</v>
      </c>
      <c r="D294" t="s" s="1">
        <v>21</v>
      </c>
      <c r="E294" t="n" s="16">
        <v>45919.0</v>
      </c>
    </row>
    <row r="295" ht="12.0" customHeight="true">
      <c r="A295" t="s" s="1">
        <v>21</v>
      </c>
      <c r="B295" t="n" s="17">
        <v>1700.4</v>
      </c>
      <c r="C295" t="s" s="1">
        <v>159</v>
      </c>
      <c r="D295" t="s" s="1">
        <v>21</v>
      </c>
      <c r="E295" t="n" s="16">
        <v>45933.0</v>
      </c>
    </row>
    <row r="296" ht="12.0" customHeight="true">
      <c r="A296" t="s" s="1">
        <v>21</v>
      </c>
      <c r="B296" t="n" s="17">
        <v>1700.4</v>
      </c>
      <c r="C296" t="s" s="1">
        <v>159</v>
      </c>
      <c r="D296" t="s" s="1">
        <v>21</v>
      </c>
      <c r="E296" t="n" s="16">
        <v>45947.0</v>
      </c>
    </row>
    <row r="297" ht="12.0" customHeight="true">
      <c r="A297" t="s" s="1">
        <v>21</v>
      </c>
      <c r="B297" t="n" s="17">
        <v>1700.4</v>
      </c>
      <c r="C297" t="s" s="1">
        <v>159</v>
      </c>
      <c r="D297" t="s" s="1">
        <v>21</v>
      </c>
      <c r="E297" t="n" s="16">
        <v>45961.0</v>
      </c>
    </row>
    <row r="298" ht="12.0" customHeight="true">
      <c r="A298" t="s" s="1">
        <v>21</v>
      </c>
      <c r="B298" t="n" s="17">
        <v>1700.4</v>
      </c>
      <c r="C298" t="s" s="1">
        <v>159</v>
      </c>
      <c r="D298" t="s" s="1">
        <v>21</v>
      </c>
      <c r="E298" t="n" s="16">
        <v>45975.0</v>
      </c>
    </row>
    <row r="299" ht="12.0" customHeight="true">
      <c r="A299" t="s" s="1">
        <v>21</v>
      </c>
      <c r="B299" t="n" s="17">
        <v>1700.4</v>
      </c>
      <c r="C299" t="s" s="1">
        <v>159</v>
      </c>
      <c r="D299" t="s" s="1">
        <v>21</v>
      </c>
      <c r="E299" t="n" s="16">
        <v>45989.0</v>
      </c>
    </row>
    <row r="300" ht="12.0" customHeight="true">
      <c r="A300" t="s" s="1">
        <v>21</v>
      </c>
      <c r="B300" t="n" s="17">
        <v>1700.4</v>
      </c>
      <c r="C300" t="s" s="1">
        <v>159</v>
      </c>
      <c r="D300" t="s" s="1">
        <v>21</v>
      </c>
      <c r="E300" t="n" s="16">
        <v>46003.0</v>
      </c>
    </row>
    <row r="301" ht="12.0" customHeight="true">
      <c r="A301" t="s" s="1">
        <v>21</v>
      </c>
      <c r="B301" t="n" s="17">
        <v>2829.64</v>
      </c>
      <c r="C301" t="s" s="1">
        <v>161</v>
      </c>
      <c r="D301" t="s" s="1">
        <v>21</v>
      </c>
      <c r="E301" t="n" s="16">
        <v>45835.0</v>
      </c>
    </row>
    <row r="302" ht="12.0" customHeight="true">
      <c r="A302" t="s" s="1">
        <v>21</v>
      </c>
      <c r="B302" t="n" s="17">
        <v>2829.64</v>
      </c>
      <c r="C302" t="s" s="1">
        <v>161</v>
      </c>
      <c r="D302" t="s" s="1">
        <v>21</v>
      </c>
      <c r="E302" t="n" s="16">
        <v>45849.0</v>
      </c>
    </row>
    <row r="303" ht="12.0" customHeight="true">
      <c r="A303" t="s" s="1">
        <v>21</v>
      </c>
      <c r="B303" t="n" s="17">
        <v>2829.64</v>
      </c>
      <c r="C303" t="s" s="1">
        <v>161</v>
      </c>
      <c r="D303" t="s" s="1">
        <v>21</v>
      </c>
      <c r="E303" t="n" s="16">
        <v>45863.0</v>
      </c>
    </row>
    <row r="304" ht="12.0" customHeight="true">
      <c r="A304" t="s" s="1">
        <v>21</v>
      </c>
      <c r="B304" t="n" s="17">
        <v>2829.64</v>
      </c>
      <c r="C304" t="s" s="1">
        <v>161</v>
      </c>
      <c r="D304" t="s" s="1">
        <v>21</v>
      </c>
      <c r="E304" t="n" s="16">
        <v>45877.0</v>
      </c>
    </row>
    <row r="305" ht="12.0" customHeight="true">
      <c r="A305" t="s" s="1">
        <v>21</v>
      </c>
      <c r="B305" t="n" s="17">
        <v>2829.64</v>
      </c>
      <c r="C305" t="s" s="1">
        <v>161</v>
      </c>
      <c r="D305" t="s" s="1">
        <v>21</v>
      </c>
      <c r="E305" t="n" s="16">
        <v>45891.0</v>
      </c>
    </row>
    <row r="306" ht="12.0" customHeight="true">
      <c r="A306" t="s" s="1">
        <v>21</v>
      </c>
      <c r="B306" t="n" s="17">
        <v>2829.64</v>
      </c>
      <c r="C306" t="s" s="1">
        <v>161</v>
      </c>
      <c r="D306" t="s" s="1">
        <v>21</v>
      </c>
      <c r="E306" t="n" s="16">
        <v>45905.0</v>
      </c>
    </row>
    <row r="307" ht="12.0" customHeight="true">
      <c r="A307" t="s" s="1">
        <v>21</v>
      </c>
      <c r="B307" t="n" s="17">
        <v>2829.64</v>
      </c>
      <c r="C307" t="s" s="1">
        <v>161</v>
      </c>
      <c r="D307" t="s" s="1">
        <v>21</v>
      </c>
      <c r="E307" t="n" s="16">
        <v>45919.0</v>
      </c>
    </row>
    <row r="308" ht="12.0" customHeight="true">
      <c r="A308" t="s" s="1">
        <v>21</v>
      </c>
      <c r="B308" t="n" s="17">
        <v>2829.64</v>
      </c>
      <c r="C308" t="s" s="1">
        <v>161</v>
      </c>
      <c r="D308" t="s" s="1">
        <v>21</v>
      </c>
      <c r="E308" t="n" s="16">
        <v>45933.0</v>
      </c>
    </row>
    <row r="309" ht="12.0" customHeight="true">
      <c r="A309" t="s" s="1">
        <v>21</v>
      </c>
      <c r="B309" t="n" s="17">
        <v>2829.64</v>
      </c>
      <c r="C309" t="s" s="1">
        <v>161</v>
      </c>
      <c r="D309" t="s" s="1">
        <v>21</v>
      </c>
      <c r="E309" t="n" s="16">
        <v>45947.0</v>
      </c>
    </row>
    <row r="310" ht="12.0" customHeight="true">
      <c r="A310" t="s" s="1">
        <v>21</v>
      </c>
      <c r="B310" t="n" s="17">
        <v>2829.64</v>
      </c>
      <c r="C310" t="s" s="1">
        <v>161</v>
      </c>
      <c r="D310" t="s" s="1">
        <v>21</v>
      </c>
      <c r="E310" t="n" s="16">
        <v>45961.0</v>
      </c>
    </row>
    <row r="311" ht="12.0" customHeight="true">
      <c r="A311" t="s" s="1">
        <v>21</v>
      </c>
      <c r="B311" t="n" s="17">
        <v>2829.64</v>
      </c>
      <c r="C311" t="s" s="1">
        <v>161</v>
      </c>
      <c r="D311" t="s" s="1">
        <v>21</v>
      </c>
      <c r="E311" t="n" s="16">
        <v>45975.0</v>
      </c>
    </row>
    <row r="312" ht="12.0" customHeight="true">
      <c r="A312" t="s" s="1">
        <v>21</v>
      </c>
      <c r="B312" t="n" s="17">
        <v>2829.64</v>
      </c>
      <c r="C312" t="s" s="1">
        <v>161</v>
      </c>
      <c r="D312" t="s" s="1">
        <v>21</v>
      </c>
      <c r="E312" t="n" s="16">
        <v>45989.0</v>
      </c>
    </row>
    <row r="313" ht="12.0" customHeight="true">
      <c r="A313" t="s" s="1">
        <v>21</v>
      </c>
      <c r="B313" t="n" s="17">
        <v>2829.64</v>
      </c>
      <c r="C313" t="s" s="1">
        <v>161</v>
      </c>
      <c r="D313" t="s" s="1">
        <v>21</v>
      </c>
      <c r="E313" t="n" s="16">
        <v>46003.0</v>
      </c>
    </row>
    <row r="314" ht="12.0" customHeight="true">
      <c r="A314" t="s" s="1">
        <v>21</v>
      </c>
      <c r="B314" t="n" s="17">
        <v>2267.2</v>
      </c>
      <c r="C314" t="s" s="1">
        <v>163</v>
      </c>
      <c r="D314" t="s" s="1">
        <v>21</v>
      </c>
      <c r="E314" t="n" s="16">
        <v>45835.0</v>
      </c>
    </row>
    <row r="315" ht="12.0" customHeight="true">
      <c r="A315" t="s" s="1">
        <v>21</v>
      </c>
      <c r="B315" t="n" s="17">
        <v>2267.2</v>
      </c>
      <c r="C315" t="s" s="1">
        <v>163</v>
      </c>
      <c r="D315" t="s" s="1">
        <v>21</v>
      </c>
      <c r="E315" t="n" s="16">
        <v>45849.0</v>
      </c>
    </row>
    <row r="316" ht="12.0" customHeight="true">
      <c r="A316" t="s" s="1">
        <v>21</v>
      </c>
      <c r="B316" t="n" s="17">
        <v>2267.2</v>
      </c>
      <c r="C316" t="s" s="1">
        <v>163</v>
      </c>
      <c r="D316" t="s" s="1">
        <v>21</v>
      </c>
      <c r="E316" t="n" s="16">
        <v>45863.0</v>
      </c>
    </row>
    <row r="317" ht="12.0" customHeight="true">
      <c r="A317" t="s" s="1">
        <v>21</v>
      </c>
      <c r="B317" t="n" s="17">
        <v>2267.2</v>
      </c>
      <c r="C317" t="s" s="1">
        <v>163</v>
      </c>
      <c r="D317" t="s" s="1">
        <v>21</v>
      </c>
      <c r="E317" t="n" s="16">
        <v>45877.0</v>
      </c>
    </row>
    <row r="318" ht="12.0" customHeight="true">
      <c r="A318" t="s" s="1">
        <v>21</v>
      </c>
      <c r="B318" t="n" s="17">
        <v>2267.2</v>
      </c>
      <c r="C318" t="s" s="1">
        <v>163</v>
      </c>
      <c r="D318" t="s" s="1">
        <v>21</v>
      </c>
      <c r="E318" t="n" s="16">
        <v>45891.0</v>
      </c>
    </row>
    <row r="319" ht="12.0" customHeight="true">
      <c r="A319" t="s" s="1">
        <v>21</v>
      </c>
      <c r="B319" t="n" s="17">
        <v>2267.2</v>
      </c>
      <c r="C319" t="s" s="1">
        <v>163</v>
      </c>
      <c r="D319" t="s" s="1">
        <v>21</v>
      </c>
      <c r="E319" t="n" s="16">
        <v>45905.0</v>
      </c>
    </row>
    <row r="320" ht="12.0" customHeight="true">
      <c r="A320" t="s" s="1">
        <v>21</v>
      </c>
      <c r="B320" t="n" s="17">
        <v>2267.2</v>
      </c>
      <c r="C320" t="s" s="1">
        <v>163</v>
      </c>
      <c r="D320" t="s" s="1">
        <v>21</v>
      </c>
      <c r="E320" t="n" s="16">
        <v>45919.0</v>
      </c>
    </row>
    <row r="321" ht="12.0" customHeight="true">
      <c r="A321" t="s" s="1">
        <v>21</v>
      </c>
      <c r="B321" t="n" s="17">
        <v>2267.2</v>
      </c>
      <c r="C321" t="s" s="1">
        <v>163</v>
      </c>
      <c r="D321" t="s" s="1">
        <v>21</v>
      </c>
      <c r="E321" t="n" s="16">
        <v>45933.0</v>
      </c>
    </row>
    <row r="322" ht="12.0" customHeight="true">
      <c r="A322" t="s" s="1">
        <v>21</v>
      </c>
      <c r="B322" t="n" s="17">
        <v>2267.2</v>
      </c>
      <c r="C322" t="s" s="1">
        <v>163</v>
      </c>
      <c r="D322" t="s" s="1">
        <v>21</v>
      </c>
      <c r="E322" t="n" s="16">
        <v>45947.0</v>
      </c>
    </row>
    <row r="323" ht="12.0" customHeight="true">
      <c r="A323" t="s" s="1">
        <v>21</v>
      </c>
      <c r="B323" t="n" s="17">
        <v>2267.2</v>
      </c>
      <c r="C323" t="s" s="1">
        <v>163</v>
      </c>
      <c r="D323" t="s" s="1">
        <v>21</v>
      </c>
      <c r="E323" t="n" s="16">
        <v>45961.0</v>
      </c>
    </row>
    <row r="324" ht="12.0" customHeight="true">
      <c r="A324" t="s" s="1">
        <v>21</v>
      </c>
      <c r="B324" t="n" s="17">
        <v>2267.2</v>
      </c>
      <c r="C324" t="s" s="1">
        <v>163</v>
      </c>
      <c r="D324" t="s" s="1">
        <v>21</v>
      </c>
      <c r="E324" t="n" s="16">
        <v>45975.0</v>
      </c>
    </row>
    <row r="325" ht="12.0" customHeight="true">
      <c r="A325" t="s" s="1">
        <v>21</v>
      </c>
      <c r="B325" t="n" s="17">
        <v>2267.2</v>
      </c>
      <c r="C325" t="s" s="1">
        <v>163</v>
      </c>
      <c r="D325" t="s" s="1">
        <v>21</v>
      </c>
      <c r="E325" t="n" s="16">
        <v>45989.0</v>
      </c>
    </row>
    <row r="326" ht="12.0" customHeight="true">
      <c r="A326" t="s" s="1">
        <v>21</v>
      </c>
      <c r="B326" t="n" s="17">
        <v>2267.2</v>
      </c>
      <c r="C326" t="s" s="1">
        <v>163</v>
      </c>
      <c r="D326" t="s" s="1">
        <v>21</v>
      </c>
      <c r="E326" t="n" s="16">
        <v>46003.0</v>
      </c>
    </row>
    <row r="327" ht="12.0" customHeight="true">
      <c r="A327" t="s" s="1">
        <v>21</v>
      </c>
      <c r="B327" t="n" s="17">
        <v>2515.72</v>
      </c>
      <c r="C327" t="s" s="1">
        <v>165</v>
      </c>
      <c r="D327" t="s" s="1">
        <v>21</v>
      </c>
      <c r="E327" t="n" s="16">
        <v>45835.0</v>
      </c>
    </row>
    <row r="328" ht="12.0" customHeight="true">
      <c r="A328" t="s" s="1">
        <v>21</v>
      </c>
      <c r="B328" t="n" s="17">
        <v>2515.72</v>
      </c>
      <c r="C328" t="s" s="1">
        <v>165</v>
      </c>
      <c r="D328" t="s" s="1">
        <v>21</v>
      </c>
      <c r="E328" t="n" s="16">
        <v>45849.0</v>
      </c>
    </row>
    <row r="329" ht="12.0" customHeight="true">
      <c r="A329" t="s" s="1">
        <v>21</v>
      </c>
      <c r="B329" t="n" s="17">
        <v>2515.72</v>
      </c>
      <c r="C329" t="s" s="1">
        <v>165</v>
      </c>
      <c r="D329" t="s" s="1">
        <v>21</v>
      </c>
      <c r="E329" t="n" s="16">
        <v>45863.0</v>
      </c>
    </row>
    <row r="330" ht="12.0" customHeight="true">
      <c r="A330" t="s" s="1">
        <v>21</v>
      </c>
      <c r="B330" t="n" s="17">
        <v>2515.72</v>
      </c>
      <c r="C330" t="s" s="1">
        <v>165</v>
      </c>
      <c r="D330" t="s" s="1">
        <v>21</v>
      </c>
      <c r="E330" t="n" s="16">
        <v>45877.0</v>
      </c>
    </row>
    <row r="331" ht="12.0" customHeight="true">
      <c r="A331" t="s" s="1">
        <v>21</v>
      </c>
      <c r="B331" t="n" s="17">
        <v>2515.72</v>
      </c>
      <c r="C331" t="s" s="1">
        <v>165</v>
      </c>
      <c r="D331" t="s" s="1">
        <v>21</v>
      </c>
      <c r="E331" t="n" s="16">
        <v>45891.0</v>
      </c>
    </row>
    <row r="332" ht="12.0" customHeight="true">
      <c r="A332" t="s" s="1">
        <v>21</v>
      </c>
      <c r="B332" t="n" s="17">
        <v>2515.72</v>
      </c>
      <c r="C332" t="s" s="1">
        <v>165</v>
      </c>
      <c r="D332" t="s" s="1">
        <v>21</v>
      </c>
      <c r="E332" t="n" s="16">
        <v>45905.0</v>
      </c>
    </row>
    <row r="333" ht="12.0" customHeight="true">
      <c r="A333" t="s" s="1">
        <v>21</v>
      </c>
      <c r="B333" t="n" s="17">
        <v>2515.72</v>
      </c>
      <c r="C333" t="s" s="1">
        <v>165</v>
      </c>
      <c r="D333" t="s" s="1">
        <v>21</v>
      </c>
      <c r="E333" t="n" s="16">
        <v>45919.0</v>
      </c>
    </row>
    <row r="334" ht="12.0" customHeight="true">
      <c r="A334" t="s" s="1">
        <v>21</v>
      </c>
      <c r="B334" t="n" s="17">
        <v>2515.72</v>
      </c>
      <c r="C334" t="s" s="1">
        <v>165</v>
      </c>
      <c r="D334" t="s" s="1">
        <v>21</v>
      </c>
      <c r="E334" t="n" s="16">
        <v>45933.0</v>
      </c>
    </row>
    <row r="335" ht="12.0" customHeight="true">
      <c r="A335" t="s" s="1">
        <v>21</v>
      </c>
      <c r="B335" t="n" s="17">
        <v>2515.72</v>
      </c>
      <c r="C335" t="s" s="1">
        <v>165</v>
      </c>
      <c r="D335" t="s" s="1">
        <v>21</v>
      </c>
      <c r="E335" t="n" s="16">
        <v>45947.0</v>
      </c>
    </row>
    <row r="336" ht="12.0" customHeight="true">
      <c r="A336" t="s" s="1">
        <v>21</v>
      </c>
      <c r="B336" t="n" s="17">
        <v>2515.72</v>
      </c>
      <c r="C336" t="s" s="1">
        <v>165</v>
      </c>
      <c r="D336" t="s" s="1">
        <v>21</v>
      </c>
      <c r="E336" t="n" s="16">
        <v>45961.0</v>
      </c>
    </row>
    <row r="337" ht="12.0" customHeight="true">
      <c r="A337" t="s" s="1">
        <v>21</v>
      </c>
      <c r="B337" t="n" s="17">
        <v>2515.72</v>
      </c>
      <c r="C337" t="s" s="1">
        <v>165</v>
      </c>
      <c r="D337" t="s" s="1">
        <v>21</v>
      </c>
      <c r="E337" t="n" s="16">
        <v>45975.0</v>
      </c>
    </row>
    <row r="338" ht="12.0" customHeight="true">
      <c r="A338" t="s" s="1">
        <v>21</v>
      </c>
      <c r="B338" t="n" s="17">
        <v>2515.72</v>
      </c>
      <c r="C338" t="s" s="1">
        <v>165</v>
      </c>
      <c r="D338" t="s" s="1">
        <v>21</v>
      </c>
      <c r="E338" t="n" s="16">
        <v>45989.0</v>
      </c>
    </row>
    <row r="339" ht="12.0" customHeight="true">
      <c r="A339" t="s" s="1">
        <v>21</v>
      </c>
      <c r="B339" t="n" s="17">
        <v>2515.72</v>
      </c>
      <c r="C339" t="s" s="1">
        <v>165</v>
      </c>
      <c r="D339" t="s" s="1">
        <v>21</v>
      </c>
      <c r="E339" t="n" s="16">
        <v>46003.0</v>
      </c>
    </row>
    <row r="340" ht="12.0" customHeight="true">
      <c r="A340" t="s" s="1">
        <v>21</v>
      </c>
      <c r="B340" t="n" s="17">
        <v>2515.72</v>
      </c>
      <c r="C340" t="s" s="1">
        <v>167</v>
      </c>
      <c r="D340" t="s" s="1">
        <v>21</v>
      </c>
      <c r="E340" t="n" s="16">
        <v>45835.0</v>
      </c>
    </row>
    <row r="341" ht="12.0" customHeight="true">
      <c r="A341" t="s" s="1">
        <v>21</v>
      </c>
      <c r="B341" t="n" s="17">
        <v>2515.72</v>
      </c>
      <c r="C341" t="s" s="1">
        <v>167</v>
      </c>
      <c r="D341" t="s" s="1">
        <v>21</v>
      </c>
      <c r="E341" t="n" s="16">
        <v>45849.0</v>
      </c>
    </row>
    <row r="342" ht="12.0" customHeight="true">
      <c r="A342" t="s" s="1">
        <v>21</v>
      </c>
      <c r="B342" t="n" s="17">
        <v>2515.72</v>
      </c>
      <c r="C342" t="s" s="1">
        <v>167</v>
      </c>
      <c r="D342" t="s" s="1">
        <v>21</v>
      </c>
      <c r="E342" t="n" s="16">
        <v>45863.0</v>
      </c>
    </row>
    <row r="343" ht="12.0" customHeight="true">
      <c r="A343" t="s" s="1">
        <v>21</v>
      </c>
      <c r="B343" t="n" s="17">
        <v>2515.72</v>
      </c>
      <c r="C343" t="s" s="1">
        <v>167</v>
      </c>
      <c r="D343" t="s" s="1">
        <v>21</v>
      </c>
      <c r="E343" t="n" s="16">
        <v>45877.0</v>
      </c>
    </row>
    <row r="344" ht="12.0" customHeight="true">
      <c r="A344" t="s" s="1">
        <v>21</v>
      </c>
      <c r="B344" t="n" s="17">
        <v>2515.72</v>
      </c>
      <c r="C344" t="s" s="1">
        <v>167</v>
      </c>
      <c r="D344" t="s" s="1">
        <v>21</v>
      </c>
      <c r="E344" t="n" s="16">
        <v>45891.0</v>
      </c>
    </row>
    <row r="345" ht="12.0" customHeight="true">
      <c r="A345" t="s" s="1">
        <v>21</v>
      </c>
      <c r="B345" t="n" s="17">
        <v>2515.72</v>
      </c>
      <c r="C345" t="s" s="1">
        <v>167</v>
      </c>
      <c r="D345" t="s" s="1">
        <v>21</v>
      </c>
      <c r="E345" t="n" s="16">
        <v>45905.0</v>
      </c>
    </row>
    <row r="346" ht="12.0" customHeight="true">
      <c r="A346" t="s" s="1">
        <v>21</v>
      </c>
      <c r="B346" t="n" s="17">
        <v>2515.72</v>
      </c>
      <c r="C346" t="s" s="1">
        <v>167</v>
      </c>
      <c r="D346" t="s" s="1">
        <v>21</v>
      </c>
      <c r="E346" t="n" s="16">
        <v>45919.0</v>
      </c>
    </row>
    <row r="347" ht="12.0" customHeight="true">
      <c r="A347" t="s" s="1">
        <v>21</v>
      </c>
      <c r="B347" t="n" s="17">
        <v>2515.72</v>
      </c>
      <c r="C347" t="s" s="1">
        <v>167</v>
      </c>
      <c r="D347" t="s" s="1">
        <v>21</v>
      </c>
      <c r="E347" t="n" s="16">
        <v>45933.0</v>
      </c>
    </row>
    <row r="348" ht="12.0" customHeight="true">
      <c r="A348" t="s" s="1">
        <v>21</v>
      </c>
      <c r="B348" t="n" s="17">
        <v>2515.72</v>
      </c>
      <c r="C348" t="s" s="1">
        <v>167</v>
      </c>
      <c r="D348" t="s" s="1">
        <v>21</v>
      </c>
      <c r="E348" t="n" s="16">
        <v>45947.0</v>
      </c>
    </row>
    <row r="349" ht="12.0" customHeight="true">
      <c r="A349" t="s" s="1">
        <v>21</v>
      </c>
      <c r="B349" t="n" s="17">
        <v>2515.72</v>
      </c>
      <c r="C349" t="s" s="1">
        <v>167</v>
      </c>
      <c r="D349" t="s" s="1">
        <v>21</v>
      </c>
      <c r="E349" t="n" s="16">
        <v>45961.0</v>
      </c>
    </row>
    <row r="350" ht="12.0" customHeight="true">
      <c r="A350" t="s" s="1">
        <v>21</v>
      </c>
      <c r="B350" t="n" s="17">
        <v>2515.72</v>
      </c>
      <c r="C350" t="s" s="1">
        <v>167</v>
      </c>
      <c r="D350" t="s" s="1">
        <v>21</v>
      </c>
      <c r="E350" t="n" s="16">
        <v>45975.0</v>
      </c>
    </row>
    <row r="351" ht="12.0" customHeight="true">
      <c r="A351" t="s" s="1">
        <v>21</v>
      </c>
      <c r="B351" t="n" s="17">
        <v>2515.72</v>
      </c>
      <c r="C351" t="s" s="1">
        <v>167</v>
      </c>
      <c r="D351" t="s" s="1">
        <v>21</v>
      </c>
      <c r="E351" t="n" s="16">
        <v>45989.0</v>
      </c>
    </row>
    <row r="352" ht="12.0" customHeight="true">
      <c r="A352" t="s" s="1">
        <v>21</v>
      </c>
      <c r="B352" t="n" s="17">
        <v>2515.72</v>
      </c>
      <c r="C352" t="s" s="1">
        <v>167</v>
      </c>
      <c r="D352" t="s" s="1">
        <v>21</v>
      </c>
      <c r="E352" t="n" s="16">
        <v>46003.0</v>
      </c>
    </row>
    <row r="353" ht="12.0" customHeight="true">
      <c r="A353" t="s" s="1">
        <v>21</v>
      </c>
      <c r="B353" t="n" s="17">
        <v>5240.72</v>
      </c>
      <c r="C353" t="s" s="1">
        <v>169</v>
      </c>
      <c r="D353" t="s" s="1">
        <v>21</v>
      </c>
      <c r="E353" t="n" s="16">
        <v>45835.0</v>
      </c>
    </row>
    <row r="354" ht="12.0" customHeight="true">
      <c r="A354" t="s" s="1">
        <v>21</v>
      </c>
      <c r="B354" t="n" s="17">
        <v>5240.72</v>
      </c>
      <c r="C354" t="s" s="1">
        <v>169</v>
      </c>
      <c r="D354" t="s" s="1">
        <v>21</v>
      </c>
      <c r="E354" t="n" s="16">
        <v>45849.0</v>
      </c>
    </row>
    <row r="355" ht="12.0" customHeight="true">
      <c r="A355" t="s" s="1">
        <v>21</v>
      </c>
      <c r="B355" t="n" s="17">
        <v>5240.72</v>
      </c>
      <c r="C355" t="s" s="1">
        <v>169</v>
      </c>
      <c r="D355" t="s" s="1">
        <v>21</v>
      </c>
      <c r="E355" t="n" s="16">
        <v>45863.0</v>
      </c>
    </row>
    <row r="356" ht="12.0" customHeight="true">
      <c r="A356" t="s" s="1">
        <v>21</v>
      </c>
      <c r="B356" t="n" s="17">
        <v>5240.72</v>
      </c>
      <c r="C356" t="s" s="1">
        <v>169</v>
      </c>
      <c r="D356" t="s" s="1">
        <v>21</v>
      </c>
      <c r="E356" t="n" s="16">
        <v>45877.0</v>
      </c>
    </row>
    <row r="357" ht="12.0" customHeight="true">
      <c r="A357" t="s" s="1">
        <v>21</v>
      </c>
      <c r="B357" t="n" s="17">
        <v>5240.72</v>
      </c>
      <c r="C357" t="s" s="1">
        <v>169</v>
      </c>
      <c r="D357" t="s" s="1">
        <v>21</v>
      </c>
      <c r="E357" t="n" s="16">
        <v>45891.0</v>
      </c>
    </row>
    <row r="358" ht="12.0" customHeight="true">
      <c r="A358" t="s" s="1">
        <v>21</v>
      </c>
      <c r="B358" t="n" s="17">
        <v>5240.72</v>
      </c>
      <c r="C358" t="s" s="1">
        <v>169</v>
      </c>
      <c r="D358" t="s" s="1">
        <v>21</v>
      </c>
      <c r="E358" t="n" s="16">
        <v>45905.0</v>
      </c>
    </row>
    <row r="359" ht="12.0" customHeight="true">
      <c r="A359" t="s" s="1">
        <v>21</v>
      </c>
      <c r="B359" t="n" s="17">
        <v>5240.72</v>
      </c>
      <c r="C359" t="s" s="1">
        <v>169</v>
      </c>
      <c r="D359" t="s" s="1">
        <v>21</v>
      </c>
      <c r="E359" t="n" s="16">
        <v>45919.0</v>
      </c>
    </row>
    <row r="360" ht="12.0" customHeight="true">
      <c r="A360" t="s" s="1">
        <v>21</v>
      </c>
      <c r="B360" t="n" s="17">
        <v>5240.72</v>
      </c>
      <c r="C360" t="s" s="1">
        <v>169</v>
      </c>
      <c r="D360" t="s" s="1">
        <v>21</v>
      </c>
      <c r="E360" t="n" s="16">
        <v>45933.0</v>
      </c>
    </row>
    <row r="361" ht="12.0" customHeight="true">
      <c r="A361" t="s" s="1">
        <v>21</v>
      </c>
      <c r="B361" t="n" s="17">
        <v>5240.72</v>
      </c>
      <c r="C361" t="s" s="1">
        <v>169</v>
      </c>
      <c r="D361" t="s" s="1">
        <v>21</v>
      </c>
      <c r="E361" t="n" s="16">
        <v>45947.0</v>
      </c>
    </row>
    <row r="362" ht="12.0" customHeight="true">
      <c r="A362" t="s" s="1">
        <v>21</v>
      </c>
      <c r="B362" t="n" s="17">
        <v>5240.72</v>
      </c>
      <c r="C362" t="s" s="1">
        <v>169</v>
      </c>
      <c r="D362" t="s" s="1">
        <v>21</v>
      </c>
      <c r="E362" t="n" s="16">
        <v>45961.0</v>
      </c>
    </row>
    <row r="363" ht="12.0" customHeight="true">
      <c r="A363" t="s" s="1">
        <v>21</v>
      </c>
      <c r="B363" t="n" s="17">
        <v>5240.72</v>
      </c>
      <c r="C363" t="s" s="1">
        <v>169</v>
      </c>
      <c r="D363" t="s" s="1">
        <v>21</v>
      </c>
      <c r="E363" t="n" s="16">
        <v>45975.0</v>
      </c>
    </row>
    <row r="364" ht="12.0" customHeight="true">
      <c r="A364" t="s" s="1">
        <v>21</v>
      </c>
      <c r="B364" t="n" s="17">
        <v>5240.72</v>
      </c>
      <c r="C364" t="s" s="1">
        <v>169</v>
      </c>
      <c r="D364" t="s" s="1">
        <v>21</v>
      </c>
      <c r="E364" t="n" s="16">
        <v>45989.0</v>
      </c>
    </row>
    <row r="365" ht="12.0" customHeight="true">
      <c r="A365" t="s" s="1">
        <v>21</v>
      </c>
      <c r="B365" t="n" s="17">
        <v>5240.72</v>
      </c>
      <c r="C365" t="s" s="1">
        <v>169</v>
      </c>
      <c r="D365" t="s" s="1">
        <v>21</v>
      </c>
      <c r="E365" t="n" s="16">
        <v>46003.0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2026-02-25T20:30:47Z</dcterms:created>
  <dc:creator>Apache POI</dc:creator>
</cp:coreProperties>
</file>